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3db062ca8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266cc3918f4c24"/>
    <x:sheet xmlns:r="http://schemas.openxmlformats.org/officeDocument/2006/relationships" name="Assumptions" sheetId="2" r:id="Rce7c4b3107ac405b"/>
    <x:sheet xmlns:r="http://schemas.openxmlformats.org/officeDocument/2006/relationships" name="Company Inputs" sheetId="3" r:id="R77f708daaa5947b2"/>
    <x:sheet xmlns:r="http://schemas.openxmlformats.org/officeDocument/2006/relationships" name="Projection" sheetId="4" r:id="R06a4b13ec47645d4"/>
    <x:sheet xmlns:r="http://schemas.openxmlformats.org/officeDocument/2006/relationships" name="Price History Test" sheetId="5" r:id="R6d35622357474fae"/>
    <x:sheet xmlns:r="http://schemas.openxmlformats.org/officeDocument/2006/relationships" name="Sources Audit" sheetId="6" r:id="R741de3d9a5594fd8"/>
    <x:sheet xmlns:r="http://schemas.openxmlformats.org/officeDocument/2006/relationships" name="Checks" sheetId="7" r:id="Rebac95c331e3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x"/>
    <x:numFmt numFmtId="201" formatCode="0%"/>
    <x:numFmt numFmtId="202" formatCode="0.0%"/>
    <x:numFmt numFmtId="203" formatCode="#,##0.0"/>
    <x:numFmt numFmtId="204" formatCode="0.0"/>
    <x:numFmt numFmtId="205" formatCode="0"/>
  </x:numFmts>
  <x:fonts count="9">
    <x:font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375623"/>
      <x:name val="Carlito"/>
    </x:font>
    <x:font>
      <x:sz val="11"/>
      <x:color rgb="FF404040"/>
      <x:name val="Carlito"/>
    </x:font>
    <x:font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44062"/>
      </x:patternFill>
    </x:fill>
    <x:fill>
      <x:patternFill patternType="solid">
        <x:fgColor rgb="FFE2F0D9"/>
      </x:patternFill>
    </x:fill>
    <x:fill>
      <x:patternFill patternType="solid">
        <x:fgColor rgb="FFF3F6F9"/>
      </x:patternFill>
    </x:fill>
  </x:fills>
  <x:borders count="13">
    <x:border/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B4C7E7"/>
      </x:righ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4C7E7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B4C7E7"/>
      </x:right>
      <x:top style="thin">
        <x:color rgb="FFD9E2F3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2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4" fontId="0" fillId="0" borderId="8" xfId="0" applyNumberFormat="1" applyFont="1" applyFill="1" applyBorder="1"/>
    <x:xf numFmtId="205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4" fontId="0" fillId="0" borderId="11" xfId="0" applyNumberFormat="1" applyFont="1" applyFill="1" applyBorder="1"/>
    <x:xf numFmtId="205" fontId="0" fillId="0" borderId="11" xfId="0" applyNumberFormat="1" applyFont="1" applyFill="1" applyBorder="1"/>
    <x:xf numFmtId="203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204" fontId="2" fillId="0" borderId="8" xfId="0" applyNumberFormat="1" applyFont="1" applyFill="1" applyBorder="1"/>
    <x:xf numFmtId="205" fontId="2" fillId="0" borderId="8" xfId="0" applyNumberFormat="1" applyFont="1" applyFill="1" applyBorder="1"/>
    <x:xf numFmtId="203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204" fontId="2" fillId="0" borderId="11" xfId="0" applyNumberFormat="1" applyFont="1" applyFill="1" applyBorder="1"/>
    <x:xf numFmtId="205" fontId="2" fillId="0" borderId="11" xfId="0" applyNumberFormat="1" applyFont="1" applyFill="1" applyBorder="1"/>
    <x:xf numFmtId="203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c2b73d851456f" /><Relationship Type="http://schemas.openxmlformats.org/officeDocument/2006/relationships/theme" Target="/xl/theme/theme1.xml" Id="R1ae1568bb5254be4" /><Relationship Type="http://schemas.openxmlformats.org/officeDocument/2006/relationships/sharedStrings" Target="/xl/sharedStrings.xml" Id="Rb2e1c2f3871949a9" /><Relationship Type="http://schemas.openxmlformats.org/officeDocument/2006/relationships/worksheet" Target="/xl/worksheets/sheet1.xml" Id="Rb7266cc3918f4c24" /><Relationship Type="http://schemas.openxmlformats.org/officeDocument/2006/relationships/worksheet" Target="/xl/worksheets/sheet2.xml" Id="Rce7c4b3107ac405b" /><Relationship Type="http://schemas.openxmlformats.org/officeDocument/2006/relationships/worksheet" Target="/xl/worksheets/sheet3.xml" Id="R77f708daaa5947b2" /><Relationship Type="http://schemas.openxmlformats.org/officeDocument/2006/relationships/worksheet" Target="/xl/worksheets/sheet4.xml" Id="R06a4b13ec47645d4" /><Relationship Type="http://schemas.openxmlformats.org/officeDocument/2006/relationships/worksheet" Target="/xl/worksheets/sheet5.xml" Id="R6d35622357474fae" /><Relationship Type="http://schemas.openxmlformats.org/officeDocument/2006/relationships/worksheet" Target="/xl/worksheets/sheet6.xml" Id="R741de3d9a5594fd8" /><Relationship Type="http://schemas.openxmlformats.org/officeDocument/2006/relationships/worksheet" Target="/xl/worksheets/sheet7.xml" Id="Rebac95c331e349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13.890000343322754" hidden="0" customWidth="1"/>
    <x:col min="4" max="4" width="14.779999732971191" hidden="0" customWidth="1"/>
    <x:col min="5" max="5" width="8.109999656677246" hidden="0" customWidth="1"/>
    <x:col min="6" max="6" width="9.109999656677246" hidden="0" customWidth="1"/>
    <x:col min="7" max="7" width="8.779999732971191" hidden="0" customWidth="1"/>
    <x:col min="8" max="8" width="14.779999732971191" hidden="0" customWidth="1"/>
    <x:col min="9" max="9" width="22.559999465942383" hidden="0" customWidth="1"/>
    <x:col min="10" max="10" width="18.440000534057617" hidden="0" customWidth="1"/>
    <x:col min="11" max="11" width="22" hidden="0" customWidth="1"/>
  </x:cols>
  <x:sheetData>
    <x:row r="1" ht="28" customHeight="1">
      <x:c r="A1" s="12" t="str">
        <x:v>厳格4条件一致13社 — 2倍株 理論期間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32" t="str">
        <x:v>Base: PER一定・希薄化なし。Bull/Bear: 終点PERが現在比+25%/-25%。情報基準 2026-08-14 13:30 JST。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4" ht="15" hidden="0" customHeight="1">
      <x:c r="A4" s="37" t="str">
        <x:v>Code</x:v>
      </x:c>
      <x:c r="B4" s="38" t="str">
        <x:v>Company</x:v>
      </x:c>
      <x:c r="C4" s="38" t="str">
        <x:v>Past CAGR years</x:v>
      </x:c>
      <x:c r="D4" s="38" t="str">
        <x:v>Forecast OP years</x:v>
      </x:c>
      <x:c r="E4" s="38" t="str">
        <x:v>Bull years</x:v>
      </x:c>
      <x:c r="F4" s="38" t="str">
        <x:v>Base years</x:v>
      </x:c>
      <x:c r="G4" s="38" t="str">
        <x:v>Bear years</x:v>
      </x:c>
      <x:c r="H4" s="38" t="str">
        <x:v>10% dilution years</x:v>
      </x:c>
      <x:c r="I4" s="38" t="str">
        <x:v>Current market cap (JPY bn)</x:v>
      </x:c>
      <x:c r="J4" s="38" t="str">
        <x:v>2x market cap (JPY bn)</x:v>
      </x:c>
      <x:c r="K4" s="39" t="str">
        <x:v>Status</x:v>
      </x:c>
    </x:row>
    <x:row r="5" ht="15" hidden="0" customHeight="1">
      <x:c r="A5" s="53" t="str">
        <x:f>'Projection'!A4</x:f>
        <x:v>4377</x:v>
      </x:c>
      <x:c r="B5" s="54" t="str">
        <x:f>'Projection'!B4</x:f>
        <x:v>ONE CAREER</x:v>
      </x:c>
      <x:c r="C5" s="55" t="n">
        <x:f>'Projection'!D4</x:f>
        <x:v>2.0440090079815394</x:v>
      </x:c>
      <x:c r="D5" s="55" t="n">
        <x:f>'Projection'!E4</x:f>
        <x:v>1.8416176503871207</x:v>
      </x:c>
      <x:c r="E5" s="56" t="n">
        <x:f>'Projection'!F4</x:f>
        <x:v>2</x:v>
      </x:c>
      <x:c r="F5" s="56" t="n">
        <x:f>'Projection'!G4</x:f>
        <x:v>2</x:v>
      </x:c>
      <x:c r="G5" s="56" t="n">
        <x:f>'Projection'!H4</x:f>
        <x:v>3</x:v>
      </x:c>
      <x:c r="H5" s="56" t="n">
        <x:f>'Projection'!I4</x:f>
        <x:v>3</x:v>
      </x:c>
      <x:c r="I5" s="57" t="n">
        <x:f>'Company Inputs'!H4</x:f>
        <x:v>34.930232</x:v>
      </x:c>
      <x:c r="J5" s="57" t="n">
        <x:f>I5*'Assumptions'!$B$4</x:f>
        <x:v>69.860464</x:v>
      </x:c>
      <x:c r="K5" s="58" t="str">
        <x:f>'Company Inputs'!G4</x:f>
        <x:v>active</x:v>
      </x:c>
    </x:row>
    <x:row r="6" ht="15" hidden="0" customHeight="1">
      <x:c r="A6" s="53" t="str">
        <x:f>'Projection'!A5</x:f>
        <x:v>5032</x:v>
      </x:c>
      <x:c r="B6" s="54" t="str">
        <x:f>'Projection'!B5</x:f>
        <x:v>ANYCOLOR</x:v>
      </x:c>
      <x:c r="C6" s="55" t="n">
        <x:f>'Projection'!D5</x:f>
        <x:v>1.6070080170407306</x:v>
      </x:c>
      <x:c r="D6" s="55" t="str">
        <x:f>'Projection'!E5</x:f>
      </x:c>
      <x:c r="E6" s="56" t="n">
        <x:f>'Projection'!F5</x:f>
        <x:v>5</x:v>
      </x:c>
      <x:c r="F6" s="56" t="n">
        <x:f>'Projection'!G5</x:f>
        <x:v>8</x:v>
      </x:c>
      <x:c r="G6" s="56" t="n">
        <x:f>'Projection'!H5</x:f>
        <x:v>11</x:v>
      </x:c>
      <x:c r="H6" s="56" t="n">
        <x:f>'Projection'!I5</x:f>
        <x:v>9</x:v>
      </x:c>
      <x:c r="I6" s="57" t="n">
        <x:f>'Company Inputs'!H5</x:f>
        <x:v>177.523278</x:v>
      </x:c>
      <x:c r="J6" s="57" t="n">
        <x:f>I6*'Assumptions'!$B$4</x:f>
        <x:v>355.046556</x:v>
      </x:c>
      <x:c r="K6" s="58" t="str">
        <x:f>'Company Inputs'!G5</x:f>
        <x:v>growth reset</x:v>
      </x:c>
    </x:row>
    <x:row r="7" ht="15" hidden="0" customHeight="1">
      <x:c r="A7" s="53" t="str">
        <x:f>'Projection'!A6</x:f>
        <x:v>5038</x:v>
      </x:c>
      <x:c r="B7" s="54" t="str">
        <x:f>'Projection'!B6</x:f>
        <x:v>eWeLL</x:v>
      </x:c>
      <x:c r="C7" s="55" t="n">
        <x:f>'Projection'!D6</x:f>
        <x:v>2.6528216648344625</x:v>
      </x:c>
      <x:c r="D7" s="55" t="n">
        <x:f>'Projection'!E6</x:f>
        <x:v>3.062436825974976</x:v>
      </x:c>
      <x:c r="E7" s="56" t="n">
        <x:f>'Projection'!F6</x:f>
        <x:v>3</x:v>
      </x:c>
      <x:c r="F7" s="56" t="n">
        <x:f>'Projection'!G6</x:f>
        <x:v>4</x:v>
      </x:c>
      <x:c r="G7" s="56" t="n">
        <x:f>'Projection'!H6</x:f>
        <x:v>6</x:v>
      </x:c>
      <x:c r="H7" s="56" t="n">
        <x:f>'Projection'!I6</x:f>
        <x:v>4</x:v>
      </x:c>
      <x:c r="I7" s="57" t="n">
        <x:f>'Company Inputs'!H6</x:f>
        <x:v>28.291788</x:v>
      </x:c>
      <x:c r="J7" s="57" t="n">
        <x:f>I7*'Assumptions'!$B$4</x:f>
        <x:v>56.583576</x:v>
      </x:c>
      <x:c r="K7" s="58" t="str">
        <x:f>'Company Inputs'!G6</x:f>
        <x:v>active</x:v>
      </x:c>
    </x:row>
    <x:row r="8" ht="15" hidden="0" customHeight="1">
      <x:c r="A8" s="53" t="str">
        <x:f>'Projection'!A7</x:f>
        <x:v>5132</x:v>
      </x:c>
      <x:c r="B8" s="54" t="str">
        <x:f>'Projection'!B7</x:f>
        <x:v>pluszero</x:v>
      </x:c>
      <x:c r="C8" s="55" t="n">
        <x:f>'Projection'!D7</x:f>
        <x:v>2.4891741163330696</x:v>
      </x:c>
      <x:c r="D8" s="55" t="n">
        <x:f>'Projection'!E7</x:f>
        <x:v>1.9008920084619652</x:v>
      </x:c>
      <x:c r="E8" s="56" t="n">
        <x:f>'Projection'!F7</x:f>
        <x:v>2</x:v>
      </x:c>
      <x:c r="F8" s="56" t="n">
        <x:f>'Projection'!G7</x:f>
        <x:v>3</x:v>
      </x:c>
      <x:c r="G8" s="56" t="n">
        <x:f>'Projection'!H7</x:f>
        <x:v>4</x:v>
      </x:c>
      <x:c r="H8" s="56" t="n">
        <x:f>'Projection'!I7</x:f>
        <x:v>3</x:v>
      </x:c>
      <x:c r="I8" s="57" t="n">
        <x:f>'Company Inputs'!H7</x:f>
        <x:v>11.873461</x:v>
      </x:c>
      <x:c r="J8" s="57" t="n">
        <x:f>I8*'Assumptions'!$B$4</x:f>
        <x:v>23.746922</x:v>
      </x:c>
      <x:c r="K8" s="58" t="str">
        <x:f>'Company Inputs'!G7</x:f>
        <x:v>execution risk</x:v>
      </x:c>
    </x:row>
    <x:row r="9" ht="15" hidden="0" customHeight="1">
      <x:c r="A9" s="53" t="str">
        <x:f>'Projection'!A8</x:f>
        <x:v>5134</x:v>
      </x:c>
      <x:c r="B9" s="54" t="str">
        <x:f>'Projection'!B8</x:f>
        <x:v>POPER</x:v>
      </x:c>
      <x:c r="C9" s="55" t="n">
        <x:f>'Projection'!D8</x:f>
        <x:v>2.424817471239734</x:v>
      </x:c>
      <x:c r="D9" s="55" t="str">
        <x:f>'Projection'!E8</x:f>
      </x:c>
      <x:c r="E9" s="56" t="str">
        <x:f>'Projection'!F8</x:f>
      </x:c>
      <x:c r="F9" s="56" t="str">
        <x:f>'Projection'!G8</x:f>
      </x:c>
      <x:c r="G9" s="56" t="str">
        <x:f>'Projection'!H8</x:f>
      </x:c>
      <x:c r="H9" s="56" t="str">
        <x:f>'Projection'!I8</x:f>
      </x:c>
      <x:c r="I9" s="57" t="n">
        <x:f>'Company Inputs'!H8</x:f>
        <x:v>1.924953</x:v>
      </x:c>
      <x:c r="J9" s="57" t="n">
        <x:f>I9*'Assumptions'!$B$4</x:f>
        <x:v>3.849906</x:v>
      </x:c>
      <x:c r="K9" s="58" t="str">
        <x:f>'Company Inputs'!G8</x:f>
        <x:v>conditions broken</x:v>
      </x:c>
    </x:row>
    <x:row r="10" ht="15" hidden="0" customHeight="1">
      <x:c r="A10" s="53" t="str">
        <x:f>'Projection'!A9</x:f>
        <x:v>5136</x:v>
      </x:c>
      <x:c r="B10" s="54" t="str">
        <x:f>'Projection'!B9</x:f>
        <x:v>tripla</x:v>
      </x:c>
      <x:c r="C10" s="55" t="n">
        <x:f>'Projection'!D9</x:f>
        <x:v>1.9162418258998297</x:v>
      </x:c>
      <x:c r="D10" s="55" t="n">
        <x:f>'Projection'!E9</x:f>
        <x:v>1.5111456059604007</x:v>
      </x:c>
      <x:c r="E10" s="56" t="n">
        <x:f>'Projection'!F9</x:f>
        <x:v>2</x:v>
      </x:c>
      <x:c r="F10" s="56" t="n">
        <x:f>'Projection'!G9</x:f>
        <x:v>2</x:v>
      </x:c>
      <x:c r="G10" s="56" t="n">
        <x:f>'Projection'!H9</x:f>
        <x:v>3</x:v>
      </x:c>
      <x:c r="H10" s="56" t="n">
        <x:f>'Projection'!I9</x:f>
        <x:v>3</x:v>
      </x:c>
      <x:c r="I10" s="57" t="n">
        <x:f>'Company Inputs'!H9</x:f>
        <x:v>8.98103</x:v>
      </x:c>
      <x:c r="J10" s="57" t="n">
        <x:f>I10*'Assumptions'!$B$4</x:f>
        <x:v>17.96206</x:v>
      </x:c>
      <x:c r="K10" s="58" t="str">
        <x:f>'Company Inputs'!G9</x:f>
        <x:v>balance-sheet risk</x:v>
      </x:c>
    </x:row>
    <x:row r="11" ht="15" hidden="0" customHeight="1">
      <x:c r="A11" s="53" t="str">
        <x:f>'Projection'!A10</x:f>
        <x:v>5253</x:v>
      </x:c>
      <x:c r="B11" s="54" t="str">
        <x:f>'Projection'!B10</x:f>
        <x:v>COVER</x:v>
      </x:c>
      <x:c r="C11" s="55" t="n">
        <x:f>'Projection'!D10</x:f>
        <x:v>1.3686224581717223</x:v>
      </x:c>
      <x:c r="D11" s="55" t="str">
        <x:f>'Projection'!E10</x:f>
      </x:c>
      <x:c r="E11" s="56" t="n">
        <x:f>'Projection'!F10</x:f>
        <x:v>4</x:v>
      </x:c>
      <x:c r="F11" s="56" t="n">
        <x:f>'Projection'!G10</x:f>
        <x:v>6</x:v>
      </x:c>
      <x:c r="G11" s="56" t="n">
        <x:f>'Projection'!H10</x:f>
        <x:v>9</x:v>
      </x:c>
      <x:c r="H11" s="56" t="n">
        <x:f>'Projection'!I10</x:f>
        <x:v>7</x:v>
      </x:c>
      <x:c r="I11" s="57" t="n">
        <x:f>'Company Inputs'!H10</x:f>
        <x:v>107.206613</x:v>
      </x:c>
      <x:c r="J11" s="57" t="n">
        <x:f>I11*'Assumptions'!$B$4</x:f>
        <x:v>214.413226</x:v>
      </x:c>
      <x:c r="K11" s="58" t="str">
        <x:f>'Company Inputs'!G10</x:f>
        <x:v>growth reset</x:v>
      </x:c>
    </x:row>
    <x:row r="12" ht="15" hidden="0" customHeight="1">
      <x:c r="A12" s="53" t="str">
        <x:f>'Projection'!A11</x:f>
        <x:v>5254</x:v>
      </x:c>
      <x:c r="B12" s="54" t="str">
        <x:f>'Projection'!B11</x:f>
        <x:v>Arent</x:v>
      </x:c>
      <x:c r="C12" s="55" t="n">
        <x:f>'Projection'!D11</x:f>
        <x:v>1.612842620315159</x:v>
      </x:c>
      <x:c r="D12" s="55" t="n">
        <x:f>'Projection'!E11</x:f>
        <x:v>1.1277196336645952</x:v>
      </x:c>
      <x:c r="E12" s="56" t="n">
        <x:f>'Projection'!F11</x:f>
        <x:v>2</x:v>
      </x:c>
      <x:c r="F12" s="56" t="n">
        <x:f>'Projection'!G11</x:f>
        <x:v>2</x:v>
      </x:c>
      <x:c r="G12" s="56" t="n">
        <x:f>'Projection'!H11</x:f>
        <x:v>3</x:v>
      </x:c>
      <x:c r="H12" s="56" t="n">
        <x:f>'Projection'!I11</x:f>
        <x:v>3</x:v>
      </x:c>
      <x:c r="I12" s="57" t="n">
        <x:f>'Company Inputs'!H11</x:f>
        <x:v>24.469644</x:v>
      </x:c>
      <x:c r="J12" s="57" t="n">
        <x:f>I12*'Assumptions'!$B$4</x:f>
        <x:v>48.939288</x:v>
      </x:c>
      <x:c r="K12" s="58" t="str">
        <x:f>'Company Inputs'!G11</x:f>
        <x:v>M&amp;A/dilution risk</x:v>
      </x:c>
    </x:row>
    <x:row r="13" ht="15" hidden="0" customHeight="1">
      <x:c r="A13" s="53" t="str">
        <x:f>'Projection'!A12</x:f>
        <x:v>5537</x:v>
      </x:c>
      <x:c r="B13" s="54" t="str">
        <x:f>'Projection'!B12</x:f>
        <x:v>AlbaLink</x:v>
      </x:c>
      <x:c r="C13" s="55" t="n">
        <x:f>'Projection'!D12</x:f>
        <x:v>1.2466467559222931</x:v>
      </x:c>
      <x:c r="D13" s="55" t="n">
        <x:f>'Projection'!E12</x:f>
        <x:v>1.9379276089213289</x:v>
      </x:c>
      <x:c r="E13" s="56" t="n">
        <x:f>'Projection'!F12</x:f>
        <x:v>2</x:v>
      </x:c>
      <x:c r="F13" s="56" t="n">
        <x:f>'Projection'!G12</x:f>
        <x:v>2</x:v>
      </x:c>
      <x:c r="G13" s="56" t="n">
        <x:f>'Projection'!H12</x:f>
        <x:v>3</x:v>
      </x:c>
      <x:c r="H13" s="56" t="n">
        <x:f>'Projection'!I12</x:f>
        <x:v>3</x:v>
      </x:c>
      <x:c r="I13" s="57" t="n">
        <x:f>'Company Inputs'!H12</x:f>
        <x:v>18.395834</x:v>
      </x:c>
      <x:c r="J13" s="57" t="n">
        <x:f>I13*'Assumptions'!$B$4</x:f>
        <x:v>36.791668</x:v>
      </x:c>
      <x:c r="K13" s="58" t="str">
        <x:f>'Company Inputs'!G12</x:f>
        <x:v>inventory risk</x:v>
      </x:c>
    </x:row>
    <x:row r="14" ht="15" hidden="0" customHeight="1">
      <x:c r="A14" s="53" t="str">
        <x:f>'Projection'!A13</x:f>
        <x:v>5575</x:v>
      </x:c>
      <x:c r="B14" s="54" t="str">
        <x:f>'Projection'!B13</x:f>
        <x:v>Globee</x:v>
      </x:c>
      <x:c r="C14" s="55" t="n">
        <x:f>'Projection'!D13</x:f>
        <x:v>2.0070210915270583</x:v>
      </x:c>
      <x:c r="D14" s="55" t="n">
        <x:f>'Projection'!E13</x:f>
        <x:v>2.0513394915290926</x:v>
      </x:c>
      <x:c r="E14" s="56" t="n">
        <x:f>'Projection'!F13</x:f>
        <x:v>2</x:v>
      </x:c>
      <x:c r="F14" s="56" t="n">
        <x:f>'Projection'!G13</x:f>
        <x:v>3</x:v>
      </x:c>
      <x:c r="G14" s="56" t="n">
        <x:f>'Projection'!H13</x:f>
        <x:v>5</x:v>
      </x:c>
      <x:c r="H14" s="56" t="n">
        <x:f>'Projection'!I13</x:f>
        <x:v>4</x:v>
      </x:c>
      <x:c r="I14" s="57" t="n">
        <x:f>'Company Inputs'!H13</x:f>
        <x:v>3.44128</x:v>
      </x:c>
      <x:c r="J14" s="57" t="n">
        <x:f>I14*'Assumptions'!$B$4</x:f>
        <x:v>6.88256</x:v>
      </x:c>
      <x:c r="K14" s="58" t="str">
        <x:f>'Company Inputs'!G13</x:f>
        <x:v>low liquidity</x:v>
      </x:c>
    </x:row>
    <x:row r="15" ht="15" hidden="0" customHeight="1">
      <x:c r="A15" s="53" t="str">
        <x:f>'Projection'!A14</x:f>
        <x:v>5588</x:v>
      </x:c>
      <x:c r="B15" s="54" t="str">
        <x:f>'Projection'!B14</x:f>
        <x:v>Fast Accounting</x:v>
      </x:c>
      <x:c r="C15" s="55" t="n">
        <x:f>'Projection'!D14</x:f>
        <x:v>1.6933935985332964</x:v>
      </x:c>
      <x:c r="D15" s="55" t="n">
        <x:f>'Projection'!E14</x:f>
        <x:v>10.388331080571295</x:v>
      </x:c>
      <x:c r="E15" s="56" t="n">
        <x:f>'Projection'!F14</x:f>
        <x:v>3</x:v>
      </x:c>
      <x:c r="F15" s="56" t="n">
        <x:f>'Projection'!G14</x:f>
        <x:v>4</x:v>
      </x:c>
      <x:c r="G15" s="56" t="n">
        <x:f>'Projection'!H14</x:f>
        <x:v>6</x:v>
      </x:c>
      <x:c r="H15" s="56" t="n">
        <x:f>'Projection'!I14</x:f>
        <x:v>5</x:v>
      </x:c>
      <x:c r="I15" s="57" t="n">
        <x:f>'Company Inputs'!H14</x:f>
        <x:v>7.963374</x:v>
      </x:c>
      <x:c r="J15" s="57" t="n">
        <x:f>I15*'Assumptions'!$B$4</x:f>
        <x:v>15.926748</x:v>
      </x:c>
      <x:c r="K15" s="58" t="str">
        <x:f>'Company Inputs'!G14</x:f>
        <x:v>active</x:v>
      </x:c>
    </x:row>
    <x:row r="16" ht="15" hidden="0" customHeight="1">
      <x:c r="A16" s="53" t="str">
        <x:f>'Projection'!A15</x:f>
        <x:v>9337</x:v>
      </x:c>
      <x:c r="B16" s="54" t="str">
        <x:f>'Projection'!B15</x:f>
        <x:v>toridori</x:v>
      </x:c>
      <x:c r="C16" s="55" t="n">
        <x:f>'Projection'!D15</x:f>
        <x:v>1.706146337458105</x:v>
      </x:c>
      <x:c r="D16" s="55" t="n">
        <x:f>'Projection'!E15</x:f>
        <x:v>2.0049664395242695</x:v>
      </x:c>
      <x:c r="E16" s="56" t="n">
        <x:f>'Projection'!F15</x:f>
        <x:v>2</x:v>
      </x:c>
      <x:c r="F16" s="56" t="n">
        <x:f>'Projection'!G15</x:f>
        <x:v>3</x:v>
      </x:c>
      <x:c r="G16" s="56" t="n">
        <x:f>'Projection'!H15</x:f>
        <x:v>4</x:v>
      </x:c>
      <x:c r="H16" s="56" t="n">
        <x:f>'Projection'!I15</x:f>
        <x:v>3</x:v>
      </x:c>
      <x:c r="I16" s="57" t="n">
        <x:f>'Company Inputs'!H15</x:f>
        <x:v>5.4285</x:v>
      </x:c>
      <x:c r="J16" s="57" t="n">
        <x:f>I16*'Assumptions'!$B$4</x:f>
        <x:v>10.857</x:v>
      </x:c>
      <x:c r="K16" s="58" t="str">
        <x:f>'Company Inputs'!G15</x:f>
        <x:v>parent EPS lag</x:v>
      </x:c>
    </x:row>
    <x:row r="17" ht="15" hidden="0" customHeight="1">
      <x:c r="A17" s="59" t="str">
        <x:f>'Projection'!A16</x:f>
        <x:v>9338</x:v>
      </x:c>
      <x:c r="B17" s="60" t="str">
        <x:f>'Projection'!B16</x:f>
        <x:v>INFORICH</x:v>
      </x:c>
      <x:c r="C17" s="61" t="n">
        <x:f>'Projection'!D16</x:f>
        <x:v>1.2768729629376192</x:v>
      </x:c>
      <x:c r="D17" s="61" t="n">
        <x:f>'Projection'!E16</x:f>
        <x:v>0</x:v>
      </x:c>
      <x:c r="E17" s="62" t="n">
        <x:f>'Projection'!F16</x:f>
        <x:v>10</x:v>
      </x:c>
      <x:c r="F17" s="62" t="n">
        <x:f>'Projection'!G16</x:f>
        <x:v>15</x:v>
      </x:c>
      <x:c r="G17" s="62" t="n">
        <x:f>'Projection'!H16</x:f>
        <x:v>21</x:v>
      </x:c>
      <x:c r="H17" s="62" t="n">
        <x:f>'Projection'!I16</x:f>
        <x:v>17</x:v>
      </x:c>
      <x:c r="I17" s="63" t="n">
        <x:f>'Company Inputs'!H16</x:f>
        <x:v>44.487069</x:v>
      </x:c>
      <x:c r="J17" s="63" t="n">
        <x:f>I17*'Assumptions'!$B$4</x:f>
        <x:v>88.974138</x:v>
      </x:c>
      <x:c r="K17" s="64" t="str">
        <x:f>'Company Inputs'!G16</x:f>
        <x:v>delisted</x:v>
      </x:c>
    </x:row>
    <x:row r="18"/>
    <x:row r="19"/>
    <x:row r="20" ht="15" hidden="0" customHeight="1">
      <x:c r="A20" s="27" t="str">
        <x:v>Interpretation</x:v>
      </x:c>
      <x:c r="B20" s="28"/>
      <x:c r="C20" s="28"/>
      <x:c r="D20" s="28"/>
      <x:c r="E20" s="28"/>
      <x:c r="F20" s="28"/>
      <x:c r="G20" s="28"/>
      <x:c r="H20" s="28"/>
      <x:c r="I20" s="28"/>
      <x:c r="J20" s="28"/>
      <x:c r="K20" s="29"/>
    </x:row>
    <x:row r="21" ht="15" hidden="0" customHeight="1">
      <x:c r="A21" s="36" t="str">
        <x:v>Base years estimates when durability-adjusted earnings per share reaches 2.0x. It is not a probability or target price.</x:v>
      </x:c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</x:row>
    <x:row r="22" ht="15" hidden="0" customHeight="1">
      <x:c r="A22" s="36" t="str">
        <x:v>Multiple expansion can produce a faster 2x; multiple compression or dilution requires more earnings and delays the result.</x:v>
      </x:c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</x:row>
    <x:row r="23" ht="15" hidden="0" customHeight="1">
      <x:c r="A23" s="36" t="str">
        <x:v>POPER has no positive blended growth under current guidance. INFORICH is delisted and not investable in the public market.</x:v>
      </x:c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</x:row>
    <x:row r="24" ht="15" hidden="0" customHeight="1">
      <x:c r="A24" s="36" t="str">
        <x:v>Company-specific qualitative risks and catalysts are documented in the companion Markdown report.</x:v>
      </x:c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</x:row>
  </x:sheetData>
  <x:mergeCells>
    <x:mergeCell ref="A1:K1"/>
    <x:mergeCell ref="A2:K2"/>
    <x:mergeCell ref="A20:K20"/>
    <x:mergeCell ref="A21:K21"/>
    <x:mergeCell ref="A22:K22"/>
    <x:mergeCell ref="A23:K23"/>
    <x:mergeCell ref="A24:K24"/>
  </x:mergeCells>
  <x:conditionalFormatting sqref="E5:H17">
    <x:cfRule type="colorScale" priority="1">
      <x:colorScale>
        <x:cfvo type="min"/>
        <x:cfvo type="percentile" val="50"/>
        <x:cfvo type="max"/>
        <x:color rgb="FFC6EFCE"/>
        <x:color rgb="FFFFEB9C"/>
        <x:color rgb="FFF4CCCC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.670000076293945" hidden="0" customWidth="1"/>
    <x:col min="3" max="3" width="4.559999942779541" hidden="0" customWidth="1"/>
    <x:col min="4" max="4" width="35" hidden="0" customWidth="1"/>
  </x:cols>
  <x:sheetData>
    <x:row r="1" ht="28" customHeight="1">
      <x:c r="A1" s="12" t="str">
        <x:v>2倍株 理論期間モデル — Assumptions</x:v>
      </x:c>
      <x:c r="B1" s="12"/>
      <x:c r="C1" s="12"/>
      <x:c r="D1" s="12"/>
    </x:row>
    <x:row r="3">
      <x:c r="A3" s="21" t="str">
        <x:v>Assumption</x:v>
      </x:c>
      <x:c r="B3" s="22" t="str">
        <x:v>Value</x:v>
      </x:c>
      <x:c r="C3" s="22" t="str">
        <x:v>Units</x:v>
      </x:c>
      <x:c r="D3" s="23" t="str">
        <x:v>Purpose</x:v>
      </x:c>
    </x:row>
    <x:row r="4">
      <x:c r="A4" t="str">
        <x:v>Target price factor</x:v>
      </x:c>
      <x:c r="B4" s="2" t="n">
        <x:v>2</x:v>
      </x:c>
      <x:c r="C4" t="str">
        <x:v>x</x:v>
      </x:c>
      <x:c r="D4" t="str">
        <x:v>Target stock-price multiple</x:v>
      </x:c>
    </x:row>
    <x:row r="5">
      <x:c r="A5" t="str">
        <x:v>Bull terminal PER factor</x:v>
      </x:c>
      <x:c r="B5" s="2" t="n">
        <x:v>1.25</x:v>
      </x:c>
      <x:c r="C5" t="str">
        <x:v>x</x:v>
      </x:c>
      <x:c r="D5" t="str">
        <x:v>25% multiple expansion</x:v>
      </x:c>
    </x:row>
    <x:row r="6">
      <x:c r="A6" t="str">
        <x:v>Base terminal PER factor</x:v>
      </x:c>
      <x:c r="B6" s="2" t="n">
        <x:v>1</x:v>
      </x:c>
      <x:c r="C6" t="str">
        <x:v>x</x:v>
      </x:c>
      <x:c r="D6" t="str">
        <x:v>No multiple change</x:v>
      </x:c>
    </x:row>
    <x:row r="7">
      <x:c r="A7" t="str">
        <x:v>Bear terminal PER factor</x:v>
      </x:c>
      <x:c r="B7" s="2" t="n">
        <x:v>0.75</x:v>
      </x:c>
      <x:c r="C7" t="str">
        <x:v>x</x:v>
      </x:c>
      <x:c r="D7" t="str">
        <x:v>25% multiple compression</x:v>
      </x:c>
    </x:row>
    <x:row r="8">
      <x:c r="A8" t="str">
        <x:v>Dilution factor</x:v>
      </x:c>
      <x:c r="B8" s="2" t="n">
        <x:v>1.1</x:v>
      </x:c>
      <x:c r="C8" t="str">
        <x:v>x</x:v>
      </x:c>
      <x:c r="D8" t="str">
        <x:v>10% share-count increase</x:v>
      </x:c>
    </x:row>
    <x:row r="9">
      <x:c r="A9" t="str">
        <x:v>Historical revenue weight</x:v>
      </x:c>
      <x:c r="B9" s="3" t="n">
        <x:v>0.2</x:v>
      </x:c>
      <x:c r="C9" t="str">
        <x:v>%</x:v>
      </x:c>
      <x:c r="D9" t="str">
        <x:v>Blend weight</x:v>
      </x:c>
    </x:row>
    <x:row r="10">
      <x:c r="A10" t="str">
        <x:v>Forecast revenue weight</x:v>
      </x:c>
      <x:c r="B10" s="3" t="n">
        <x:v>0.4</x:v>
      </x:c>
      <x:c r="C10" t="str">
        <x:v>%</x:v>
      </x:c>
      <x:c r="D10" t="str">
        <x:v>Blend weight</x:v>
      </x:c>
    </x:row>
    <x:row r="11">
      <x:c r="A11" t="str">
        <x:v>Forecast operating-profit weight</x:v>
      </x:c>
      <x:c r="B11" s="3" t="n">
        <x:v>0.4</x:v>
      </x:c>
      <x:c r="C11" t="str">
        <x:v>%</x:v>
      </x:c>
      <x:c r="D11" t="str">
        <x:v>Blend weight</x:v>
      </x:c>
    </x:row>
    <x:row r="12">
      <x:c r="A12" t="str">
        <x:v>Annual growth-retention factor</x:v>
      </x:c>
      <x:c r="B12" s="2" t="n">
        <x:v>0.88</x:v>
      </x:c>
      <x:c r="C12" t="str">
        <x:v>x</x:v>
      </x:c>
      <x:c r="D12" t="str">
        <x:v>12% annual decay</x:v>
      </x:c>
    </x:row>
    <x:row r="13">
      <x:c r="A13" t="str">
        <x:v>Long-run growth floor</x:v>
      </x:c>
      <x:c r="B13" s="3" t="n">
        <x:v>0.12</x:v>
      </x:c>
      <x:c r="C13" t="str">
        <x:v>%</x:v>
      </x:c>
      <x:c r="D13" t="str">
        <x:v>Only if initial growth is at least 12%</x:v>
      </x:c>
    </x:row>
    <x:row r="14">
      <x:c r="A14" t="str">
        <x:v>Initial growth cap</x:v>
      </x:c>
      <x:c r="B14" s="3" t="n">
        <x:v>0.5</x:v>
      </x:c>
      <x:c r="C14" t="str">
        <x:v>%</x:v>
      </x:c>
      <x:c r="D14" t="str">
        <x:v>Avoid perpetuating rebound growth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88999938964844" hidden="0" customWidth="1"/>
    <x:col min="2" max="2" width="20" hidden="0" customWidth="1"/>
    <x:col min="3" max="3" width="19.780000686645508" hidden="0" customWidth="1"/>
    <x:col min="4" max="4" width="19.889999389648438" hidden="0" customWidth="1"/>
    <x:col min="5" max="5" width="26" hidden="0" customWidth="1"/>
    <x:col min="6" max="6" width="17.440000534057617" hidden="0" customWidth="1"/>
    <x:col min="7" max="7" width="23" hidden="0" customWidth="1"/>
    <x:col min="8" max="8" width="27.219999313354492" hidden="0" customWidth="1"/>
  </x:cols>
  <x:sheetData>
    <x:row r="1" ht="28" customHeight="1">
      <x:c r="A1" s="12" t="str">
        <x:v>Company Inputs — as of 2026-08-14 13:30 JST</x:v>
      </x:c>
      <x:c r="B1" s="12"/>
      <x:c r="C1" s="12"/>
      <x:c r="D1" s="12"/>
      <x:c r="E1" s="12"/>
      <x:c r="F1" s="12"/>
      <x:c r="G1" s="12"/>
      <x:c r="H1" s="12"/>
    </x:row>
    <x:row r="3">
      <x:c r="A3" s="21" t="str">
        <x:v>Code</x:v>
      </x:c>
      <x:c r="B3" s="22" t="str">
        <x:v>Company</x:v>
      </x:c>
      <x:c r="C3" s="22" t="str">
        <x:v>Historical revenue CAGR</x:v>
      </x:c>
      <x:c r="D3" s="22" t="str">
        <x:v>Forecast revenue growth</x:v>
      </x:c>
      <x:c r="E3" s="22" t="str">
        <x:v>Forecast operating-profit growth</x:v>
      </x:c>
      <x:c r="F3" s="22" t="str">
        <x:v>Blended initial growth</x:v>
      </x:c>
      <x:c r="G3" s="22" t="str">
        <x:v>Status</x:v>
      </x:c>
      <x:c r="H3" s="23" t="str">
        <x:v>Market cap at 2026-06-01 (JPY bn)</x:v>
      </x:c>
    </x:row>
    <x:row r="4">
      <x:c r="A4" t="str">
        <x:v>4377</x:v>
      </x:c>
      <x:c r="B4" t="str">
        <x:v>ONE CAREER</x:v>
      </x:c>
      <x:c r="C4" s="4" t="n">
        <x:v>0.4037</x:v>
      </x:c>
      <x:c r="D4" s="4" t="n">
        <x:v>0.452</x:v>
      </x:c>
      <x:c r="E4" s="4" t="n">
        <x:v>0.457</x:v>
      </x:c>
      <x:c r="F4" s="6" t="n">
        <x:f>MAX(0,MIN('Assumptions'!$B$14,C4*'Assumptions'!$B$9+D4*'Assumptions'!$B$10+E4*'Assumptions'!$B$11))</x:f>
        <x:v>0.44434</x:v>
      </x:c>
      <x:c r="G4" t="str">
        <x:v>active</x:v>
      </x:c>
      <x:c r="H4" s="5" t="n">
        <x:v>34.930232</x:v>
      </x:c>
    </x:row>
    <x:row r="5">
      <x:c r="A5" t="str">
        <x:v>5032</x:v>
      </x:c>
      <x:c r="B5" t="str">
        <x:v>ANYCOLOR</x:v>
      </x:c>
      <x:c r="C5" s="4" t="n">
        <x:v>0.5393</x:v>
      </x:c>
      <x:c r="D5" s="4" t="n">
        <x:v>0.042</x:v>
      </x:c>
      <x:c r="E5" s="4" t="n">
        <x:v>-0.058</x:v>
      </x:c>
      <x:c r="F5" s="6" t="n">
        <x:f>MAX(0,MIN('Assumptions'!$B$14,C5*'Assumptions'!$B$9+D5*'Assumptions'!$B$10+E5*'Assumptions'!$B$11))</x:f>
        <x:v>0.10146000000000002</x:v>
      </x:c>
      <x:c r="G5" t="str">
        <x:v>growth reset</x:v>
      </x:c>
      <x:c r="H5" s="5" t="n">
        <x:v>177.523278</x:v>
      </x:c>
    </x:row>
    <x:row r="6">
      <x:c r="A6" t="str">
        <x:v>5038</x:v>
      </x:c>
      <x:c r="B6" t="str">
        <x:v>eWeLL</x:v>
      </x:c>
      <x:c r="C6" s="4" t="n">
        <x:v>0.2986</x:v>
      </x:c>
      <x:c r="D6" s="4" t="n">
        <x:v>0.261</x:v>
      </x:c>
      <x:c r="E6" s="4" t="n">
        <x:v>0.254</x:v>
      </x:c>
      <x:c r="F6" s="6" t="n">
        <x:f>MAX(0,MIN('Assumptions'!$B$14,C6*'Assumptions'!$B$9+D6*'Assumptions'!$B$10+E6*'Assumptions'!$B$11))</x:f>
        <x:v>0.26572</x:v>
      </x:c>
      <x:c r="G6" t="str">
        <x:v>active</x:v>
      </x:c>
      <x:c r="H6" s="5" t="n">
        <x:v>28.291788</x:v>
      </x:c>
    </x:row>
    <x:row r="7">
      <x:c r="A7" t="str">
        <x:v>5132</x:v>
      </x:c>
      <x:c r="B7" t="str">
        <x:v>pluszero</x:v>
      </x:c>
      <x:c r="C7" s="4" t="n">
        <x:v>0.3211</x:v>
      </x:c>
      <x:c r="D7" s="4" t="n">
        <x:v>0.3</x:v>
      </x:c>
      <x:c r="E7" s="4" t="n">
        <x:v>0.44</x:v>
      </x:c>
      <x:c r="F7" s="6" t="n">
        <x:f>MAX(0,MIN('Assumptions'!$B$14,C7*'Assumptions'!$B$9+D7*'Assumptions'!$B$10+E7*'Assumptions'!$B$11))</x:f>
        <x:v>0.36022</x:v>
      </x:c>
      <x:c r="G7" t="str">
        <x:v>execution risk</x:v>
      </x:c>
      <x:c r="H7" s="5" t="n">
        <x:v>11.873461</x:v>
      </x:c>
    </x:row>
    <x:row r="8">
      <x:c r="A8" t="str">
        <x:v>5134</x:v>
      </x:c>
      <x:c r="B8" t="str">
        <x:v>POPER</x:v>
      </x:c>
      <x:c r="C8" s="4" t="n">
        <x:v>0.3309</x:v>
      </x:c>
      <x:c r="D8" s="4" t="n">
        <x:v>0.026</x:v>
      </x:c>
      <x:c r="E8" s="4" t="n">
        <x:v>-0.508</x:v>
      </x:c>
      <x:c r="F8" s="6" t="n">
        <x:f>MAX(0,MIN('Assumptions'!$B$14,C8*'Assumptions'!$B$9+D8*'Assumptions'!$B$10+E8*'Assumptions'!$B$11))</x:f>
        <x:v>0</x:v>
      </x:c>
      <x:c r="G8" t="str">
        <x:v>conditions broken</x:v>
      </x:c>
      <x:c r="H8" s="5" t="n">
        <x:v>1.924953</x:v>
      </x:c>
    </x:row>
    <x:row r="9">
      <x:c r="A9" t="str">
        <x:v>5136</x:v>
      </x:c>
      <x:c r="B9" t="str">
        <x:v>tripla</x:v>
      </x:c>
      <x:c r="C9" s="4" t="n">
        <x:v>0.4358</x:v>
      </x:c>
      <x:c r="D9" s="4" t="n">
        <x:v>0.361</x:v>
      </x:c>
      <x:c r="E9" s="4" t="n">
        <x:v>0.582</x:v>
      </x:c>
      <x:c r="F9" s="6" t="n">
        <x:f>MAX(0,MIN('Assumptions'!$B$14,C9*'Assumptions'!$B$9+D9*'Assumptions'!$B$10+E9*'Assumptions'!$B$11))</x:f>
        <x:v>0.46436</x:v>
      </x:c>
      <x:c r="G9" t="str">
        <x:v>balance-sheet risk</x:v>
      </x:c>
      <x:c r="H9" s="5" t="n">
        <x:v>8.98103</x:v>
      </x:c>
    </x:row>
    <x:row r="10">
      <x:c r="A10" t="str">
        <x:v>5253</x:v>
      </x:c>
      <x:c r="B10" t="str">
        <x:v>COVER</x:v>
      </x:c>
      <x:c r="C10" s="4" t="n">
        <x:v>0.6594</x:v>
      </x:c>
      <x:c r="D10" s="4" t="n">
        <x:v>0.041</x:v>
      </x:c>
      <x:c r="E10" s="4" t="n">
        <x:v>-0.008</x:v>
      </x:c>
      <x:c r="F10" s="6" t="n">
        <x:f>MAX(0,MIN('Assumptions'!$B$14,C10*'Assumptions'!$B$9+D10*'Assumptions'!$B$10+E10*'Assumptions'!$B$11))</x:f>
        <x:v>0.14508</x:v>
      </x:c>
      <x:c r="G10" t="str">
        <x:v>growth reset</x:v>
      </x:c>
      <x:c r="H10" s="5" t="n">
        <x:v>107.206613</x:v>
      </x:c>
    </x:row>
    <x:row r="11">
      <x:c r="A11" t="str">
        <x:v>5254</x:v>
      </x:c>
      <x:c r="B11" t="str">
        <x:v>Arent</x:v>
      </x:c>
      <x:c r="C11" s="4" t="n">
        <x:v>0.5369</x:v>
      </x:c>
      <x:c r="D11" s="4" t="n">
        <x:v>0.452</x:v>
      </x:c>
      <x:c r="E11" s="4" t="n">
        <x:v>0.849</x:v>
      </x:c>
      <x:c r="F11" s="6" t="n">
        <x:f>MAX(0,MIN('Assumptions'!$B$14,C11*'Assumptions'!$B$9+D11*'Assumptions'!$B$10+E11*'Assumptions'!$B$11))</x:f>
        <x:v>0.5</x:v>
      </x:c>
      <x:c r="G11" t="str">
        <x:v>M&amp;A/dilution risk</x:v>
      </x:c>
      <x:c r="H11" s="5" t="n">
        <x:v>24.469644</x:v>
      </x:c>
    </x:row>
    <x:row r="12">
      <x:c r="A12" t="str">
        <x:v>5537</x:v>
      </x:c>
      <x:c r="B12" t="str">
        <x:v>AlbaLink</x:v>
      </x:c>
      <x:c r="C12" s="4" t="n">
        <x:v>0.7437</x:v>
      </x:c>
      <x:c r="D12" s="4" t="n">
        <x:v>0.519</x:v>
      </x:c>
      <x:c r="E12" s="4" t="n">
        <x:v>0.43</x:v>
      </x:c>
      <x:c r="F12" s="6" t="n">
        <x:f>MAX(0,MIN('Assumptions'!$B$14,C12*'Assumptions'!$B$9+D12*'Assumptions'!$B$10+E12*'Assumptions'!$B$11))</x:f>
        <x:v>0.5</x:v>
      </x:c>
      <x:c r="G12" t="str">
        <x:v>inventory risk</x:v>
      </x:c>
      <x:c r="H12" s="5" t="n">
        <x:v>18.395834</x:v>
      </x:c>
    </x:row>
    <x:row r="13">
      <x:c r="A13" t="str">
        <x:v>5575</x:v>
      </x:c>
      <x:c r="B13" t="str">
        <x:v>Globee</x:v>
      </x:c>
      <x:c r="C13" s="4" t="n">
        <x:v>0.4125</x:v>
      </x:c>
      <x:c r="D13" s="4" t="n">
        <x:v>0.198</x:v>
      </x:c>
      <x:c r="E13" s="4" t="n">
        <x:v>0.402</x:v>
      </x:c>
      <x:c r="F13" s="6" t="n">
        <x:f>MAX(0,MIN('Assumptions'!$B$14,C13*'Assumptions'!$B$9+D13*'Assumptions'!$B$10+E13*'Assumptions'!$B$11))</x:f>
        <x:v>0.3225</x:v>
      </x:c>
      <x:c r="G13" t="str">
        <x:v>low liquidity</x:v>
      </x:c>
      <x:c r="H13" s="5" t="n">
        <x:v>3.44128</x:v>
      </x:c>
    </x:row>
    <x:row r="14">
      <x:c r="A14" t="str">
        <x:v>5588</x:v>
      </x:c>
      <x:c r="B14" t="str">
        <x:v>Fast Accounting</x:v>
      </x:c>
      <x:c r="C14" s="4" t="n">
        <x:v>0.5058</x:v>
      </x:c>
      <x:c r="D14" s="4" t="n">
        <x:v>0.312</x:v>
      </x:c>
      <x:c r="E14" s="4" t="n">
        <x:v>0.069</x:v>
      </x:c>
      <x:c r="F14" s="6" t="n">
        <x:f>MAX(0,MIN('Assumptions'!$B$14,C14*'Assumptions'!$B$9+D14*'Assumptions'!$B$10+E14*'Assumptions'!$B$11))</x:f>
        <x:v>0.25356</x:v>
      </x:c>
      <x:c r="G14" t="str">
        <x:v>active</x:v>
      </x:c>
      <x:c r="H14" s="5" t="n">
        <x:v>7.963374</x:v>
      </x:c>
    </x:row>
    <x:row r="15">
      <x:c r="A15" t="str">
        <x:v>9337</x:v>
      </x:c>
      <x:c r="B15" t="str">
        <x:v>toridori</x:v>
      </x:c>
      <x:c r="C15" s="4" t="n">
        <x:v>0.5012</x:v>
      </x:c>
      <x:c r="D15" s="4" t="n">
        <x:v>0.34</x:v>
      </x:c>
      <x:c r="E15" s="4" t="n">
        <x:v>0.413</x:v>
      </x:c>
      <x:c r="F15" s="6" t="n">
        <x:f>MAX(0,MIN('Assumptions'!$B$14,C15*'Assumptions'!$B$9+D15*'Assumptions'!$B$10+E15*'Assumptions'!$B$11))</x:f>
        <x:v>0.40144</x:v>
      </x:c>
      <x:c r="G15" t="str">
        <x:v>parent EPS lag</x:v>
      </x:c>
      <x:c r="H15" s="5" t="n">
        <x:v>5.4285</x:v>
      </x:c>
    </x:row>
    <x:row r="16">
      <x:c r="A16" t="str">
        <x:v>9338</x:v>
      </x:c>
      <x:c r="B16" t="str">
        <x:v>INFORICH</x:v>
      </x:c>
      <x:c r="C16" s="4" t="n">
        <x:v>0.7209</x:v>
      </x:c>
      <x:c r="D16" s="4" t="n">
        <x:v>0.184</x:v>
      </x:c>
      <x:c r="E16" s="4" t="n">
        <x:v>-0.419</x:v>
      </x:c>
      <x:c r="F16" s="6" t="n">
        <x:f>MAX(0,MIN('Assumptions'!$B$14,C16*'Assumptions'!$B$9+D16*'Assumptions'!$B$10+E16*'Assumptions'!$B$11))</x:f>
        <x:v>0.05018</x:v>
      </x:c>
      <x:c r="G16" t="str">
        <x:v>delisted</x:v>
      </x:c>
      <x:c r="H16" s="5" t="n">
        <x:v>44.487069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33000183105469" hidden="0" customWidth="1"/>
    <x:col min="2" max="2" width="20" hidden="0" customWidth="1"/>
    <x:col min="3" max="3" width="10.670000076293945" hidden="0" customWidth="1"/>
    <x:col min="4" max="4" width="19.889999389648438" hidden="0" customWidth="1"/>
    <x:col min="5" max="5" width="22.110000610351562" hidden="0" customWidth="1"/>
    <x:col min="6" max="6" width="8.109999656677246" hidden="0" customWidth="1"/>
    <x:col min="7" max="7" width="9.109999656677246" hidden="0" customWidth="1"/>
    <x:col min="8" max="8" width="8.779999732971191" hidden="0" customWidth="1"/>
    <x:col min="9" max="9" width="14.779999732971191" hidden="0" customWidth="1"/>
    <x:col min="10" max="10" width="5.21999979019165" hidden="0" customWidth="1"/>
    <x:col min="11" max="11" width="5.21999979019165" hidden="0" customWidth="1"/>
    <x:col min="12" max="12" width="5.21999979019165" hidden="0" customWidth="1"/>
    <x:col min="13" max="13" width="5.21999979019165" hidden="0" customWidth="1"/>
    <x:col min="14" max="14" width="5.21999979019165" hidden="0" customWidth="1"/>
    <x:col min="15" max="15" width="5.21999979019165" hidden="0" customWidth="1"/>
    <x:col min="16" max="16" width="5.21999979019165" hidden="0" customWidth="1"/>
    <x:col min="17" max="17" width="5.21999979019165" hidden="0" customWidth="1"/>
    <x:col min="18" max="18" width="5.21999979019165" hidden="0" customWidth="1"/>
    <x:col min="19" max="19" width="5.440000057220459" hidden="0" customWidth="1"/>
    <x:col min="20" max="20" width="6.21999979019165" hidden="0" customWidth="1"/>
    <x:col min="21" max="21" width="6.21999979019165" hidden="0" customWidth="1"/>
    <x:col min="22" max="22" width="6.21999979019165" hidden="0" customWidth="1"/>
    <x:col min="23" max="23" width="6.21999979019165" hidden="0" customWidth="1"/>
    <x:col min="24" max="24" width="6.21999979019165" hidden="0" customWidth="1"/>
    <x:col min="25" max="25" width="6.21999979019165" hidden="0" customWidth="1"/>
    <x:col min="26" max="26" width="6.21999979019165" hidden="0" customWidth="1"/>
    <x:col min="27" max="27" width="6.21999979019165" hidden="0" customWidth="1"/>
    <x:col min="28" max="28" width="6.21999979019165" hidden="0" customWidth="1"/>
    <x:col min="29" max="29" width="6.21999979019165" hidden="0" customWidth="1"/>
    <x:col min="30" max="30" width="6.21999979019165" hidden="0" customWidth="1"/>
    <x:col min="31" max="31" width="6.21999979019165" hidden="0" customWidth="1"/>
    <x:col min="32" max="32" width="6.21999979019165" hidden="0" customWidth="1"/>
    <x:col min="33" max="33" width="6.21999979019165" hidden="0" customWidth="1"/>
    <x:col min="34" max="34" width="6.21999979019165" hidden="0" customWidth="1"/>
    <x:col min="35" max="35" width="6.21999979019165" hidden="0" customWidth="1"/>
  </x:cols>
  <x:sheetData>
    <x:row r="1" ht="28" customHeight="1">
      <x:c r="A1" s="12" t="str">
        <x:v>Durability-adjusted earnings-factor projection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  <x:c r="AD1" s="12"/>
      <x:c r="AE1" s="12"/>
      <x:c r="AF1" s="12"/>
      <x:c r="AG1" s="12"/>
      <x:c r="AH1" s="12"/>
      <x:c r="AI1" s="12"/>
    </x:row>
    <x:row r="3">
      <x:c r="A3" s="21" t="str">
        <x:v>Code</x:v>
      </x:c>
      <x:c r="B3" s="22" t="str">
        <x:v>Company</x:v>
      </x:c>
      <x:c r="C3" s="22" t="str">
        <x:v>Initial growth</x:v>
      </x:c>
      <x:c r="D3" s="22" t="str">
        <x:v>Historical constant years</x:v>
      </x:c>
      <x:c r="E3" s="22" t="str">
        <x:v>Forecast OP constant years</x:v>
      </x:c>
      <x:c r="F3" s="22" t="str">
        <x:v>Bull years</x:v>
      </x:c>
      <x:c r="G3" s="22" t="str">
        <x:v>Base years</x:v>
      </x:c>
      <x:c r="H3" s="22" t="str">
        <x:v>Bear years</x:v>
      </x:c>
      <x:c r="I3" s="22" t="str">
        <x:v>10% dilution years</x:v>
      </x:c>
      <x:c r="J3" s="22" t="str">
        <x:v>Year 0</x:v>
      </x:c>
      <x:c r="K3" s="22" t="str">
        <x:v>Year 1</x:v>
      </x:c>
      <x:c r="L3" s="22" t="str">
        <x:v>Year 2</x:v>
      </x:c>
      <x:c r="M3" s="22" t="str">
        <x:v>Year 3</x:v>
      </x:c>
      <x:c r="N3" s="22" t="str">
        <x:v>Year 4</x:v>
      </x:c>
      <x:c r="O3" s="22" t="str">
        <x:v>Year 5</x:v>
      </x:c>
      <x:c r="P3" s="22" t="str">
        <x:v>Year 6</x:v>
      </x:c>
      <x:c r="Q3" s="22" t="str">
        <x:v>Year 7</x:v>
      </x:c>
      <x:c r="R3" s="22" t="str">
        <x:v>Year 8</x:v>
      </x:c>
      <x:c r="S3" s="22" t="str">
        <x:v>Year 9</x:v>
      </x:c>
      <x:c r="T3" s="22" t="str">
        <x:v>Year 10</x:v>
      </x:c>
      <x:c r="U3" s="22" t="str">
        <x:v>Year 11</x:v>
      </x:c>
      <x:c r="V3" s="22" t="str">
        <x:v>Year 12</x:v>
      </x:c>
      <x:c r="W3" s="22" t="str">
        <x:v>Year 13</x:v>
      </x:c>
      <x:c r="X3" s="22" t="str">
        <x:v>Year 14</x:v>
      </x:c>
      <x:c r="Y3" s="22" t="str">
        <x:v>Year 15</x:v>
      </x:c>
      <x:c r="Z3" s="22" t="str">
        <x:v>Year 16</x:v>
      </x:c>
      <x:c r="AA3" s="22" t="str">
        <x:v>Year 17</x:v>
      </x:c>
      <x:c r="AB3" s="22" t="str">
        <x:v>Year 18</x:v>
      </x:c>
      <x:c r="AC3" s="22" t="str">
        <x:v>Year 19</x:v>
      </x:c>
      <x:c r="AD3" s="22" t="str">
        <x:v>Year 20</x:v>
      </x:c>
      <x:c r="AE3" s="22" t="str">
        <x:v>Year 21</x:v>
      </x:c>
      <x:c r="AF3" s="22" t="str">
        <x:v>Year 22</x:v>
      </x:c>
      <x:c r="AG3" s="22" t="str">
        <x:v>Year 23</x:v>
      </x:c>
      <x:c r="AH3" s="22" t="str">
        <x:v>Year 24</x:v>
      </x:c>
      <x:c r="AI3" s="23" t="str">
        <x:v>Year 25</x:v>
      </x:c>
    </x:row>
    <x:row r="4">
      <x:c r="A4" s="65" t="str">
        <x:f>'Company Inputs'!A4</x:f>
        <x:v>4377</x:v>
      </x:c>
      <x:c r="B4" s="65" t="str">
        <x:f>'Company Inputs'!B4</x:f>
        <x:v>ONE CAREER</x:v>
      </x:c>
      <x:c r="C4" s="6" t="n">
        <x:f>'Company Inputs'!F4</x:f>
        <x:v>0.44434</x:v>
      </x:c>
      <x:c r="D4" s="66" t="n">
        <x:f>IF('Company Inputs'!C4&gt;0,LN('Assumptions'!$B$4)/LN(1+'Company Inputs'!C4),"")</x:f>
        <x:v>2.0440090079815394</x:v>
      </x:c>
      <x:c r="E4" s="66" t="n">
        <x:f>IF('Company Inputs'!E4&gt;0,LN('Assumptions'!$B$4)/LN(1+'Company Inputs'!E4),"")</x:f>
        <x:v>1.8416176503871207</x:v>
      </x:c>
      <x:c r="F4" s="67" t="n">
        <x:f>IF(C4&gt;0,COUNTIF(J4:AI4,"&lt;"&amp;('Assumptions'!$B$4/'Assumptions'!$B$5)),"")</x:f>
        <x:v>2</x:v>
      </x:c>
      <x:c r="G4" s="67" t="n">
        <x:f>IF(C4&gt;0,COUNTIF(J4:AI4,"&lt;"&amp;('Assumptions'!$B$4/'Assumptions'!$B$6)),"")</x:f>
        <x:v>2</x:v>
      </x:c>
      <x:c r="H4" s="67" t="n">
        <x:f>IF(C4&gt;0,COUNTIF(J4:AI4,"&lt;"&amp;('Assumptions'!$B$4/'Assumptions'!$B$7)),"")</x:f>
        <x:v>3</x:v>
      </x:c>
      <x:c r="I4" s="67" t="n">
        <x:f>IF(C4&gt;0,COUNTIF(J4:AI4,"&lt;"&amp;('Assumptions'!$B$4*'Assumptions'!$B$8)),"")</x:f>
        <x:v>3</x:v>
      </x:c>
      <x:c r="J4" s="68" t="n">
        <x:v>1</x:v>
      </x:c>
      <x:c r="K4" s="68" t="n">
        <x:f>J4*(1+IF($C4&gt;='Assumptions'!$B$13,MAX('Assumptions'!$B$13,$C4*('Assumptions'!$B$12^0)),$C4))</x:f>
        <x:v>1.44434</x:v>
      </x:c>
      <x:c r="L4" s="68" t="n">
        <x:f>K4*(1+IF($C4&gt;='Assumptions'!$B$13,MAX('Assumptions'!$B$13,$C4*('Assumptions'!$B$12^1)),$C4))</x:f>
        <x:v>2.009104671328</x:v>
      </x:c>
      <x:c r="M4" s="68" t="n">
        <x:f>L4*(1+IF($C4&gt;='Assumptions'!$B$13,MAX('Assumptions'!$B$13,$C4*('Assumptions'!$B$12^2)),$C4))</x:f>
        <x:v>2.700431352471065</x:v>
      </x:c>
      <x:c r="N4" s="68" t="n">
        <x:f>M4*(1+IF($C4&gt;='Assumptions'!$B$13,MAX('Assumptions'!$B$13,$C4*('Assumptions'!$B$12^3)),$C4))</x:f>
        <x:v>3.518136193167875</x:v>
      </x:c>
      <x:c r="O4" s="68" t="n">
        <x:f>N4*(1+IF($C4&gt;='Assumptions'!$B$13,MAX('Assumptions'!$B$13,$C4*('Assumptions'!$B$12^4)),$C4))</x:f>
        <x:v>4.455609146746711</x:v>
      </x:c>
      <x:c r="P4" s="68" t="n">
        <x:f>O4*(1+IF($C4&gt;='Assumptions'!$B$13,MAX('Assumptions'!$B$13,$C4*('Assumptions'!$B$12^5)),$C4))</x:f>
        <x:v>5.500415628632358</x:v>
      </x:c>
      <x:c r="Q4" s="68" t="n">
        <x:f>P4*(1+IF($C4&gt;='Assumptions'!$B$13,MAX('Assumptions'!$B$13,$C4*('Assumptions'!$B$12^6)),$C4))</x:f>
        <x:v>6.6354446105459886</x:v>
      </x:c>
      <x:c r="R4" s="68" t="n">
        <x:f>Q4*(1+IF($C4&gt;='Assumptions'!$B$13,MAX('Assumptions'!$B$13,$C4*('Assumptions'!$B$12^7)),$C4))</x:f>
        <x:v>7.840381065429479</x:v>
      </x:c>
      <x:c r="S4" s="68" t="n">
        <x:f>R4*(1+IF($C4&gt;='Assumptions'!$B$13,MAX('Assumptions'!$B$13,$C4*('Assumptions'!$B$12^8)),$C4))</x:f>
        <x:v>9.0932739969433</x:v>
      </x:c>
      <x:c r="T4" s="68" t="n">
        <x:f>S4*(1+IF($C4&gt;='Assumptions'!$B$13,MAX('Assumptions'!$B$13,$C4*('Assumptions'!$B$12^9)),$C4))</x:f>
        <x:v>10.372006597516055</x:v>
      </x:c>
      <x:c r="U4" s="68" t="n">
        <x:f>T4*(1+IF($C4&gt;='Assumptions'!$B$13,MAX('Assumptions'!$B$13,$C4*('Assumptions'!$B$12^10)),$C4))</x:f>
        <x:v>11.655533324762029</x:v>
      </x:c>
      <x:c r="V4" s="68" t="n">
        <x:f>U4*(1+IF($C4&gt;='Assumptions'!$B$13,MAX('Assumptions'!$B$13,$C4*('Assumptions'!$B$12^11)),$C4))</x:f>
        <x:v>13.054197323733474</x:v>
      </x:c>
      <x:c r="W4" s="68" t="n">
        <x:f>V4*(1+IF($C4&gt;='Assumptions'!$B$13,MAX('Assumptions'!$B$13,$C4*('Assumptions'!$B$12^12)),$C4))</x:f>
        <x:v>14.620701002581493</x:v>
      </x:c>
      <x:c r="X4" s="68" t="n">
        <x:f>W4*(1+IF($C4&gt;='Assumptions'!$B$13,MAX('Assumptions'!$B$13,$C4*('Assumptions'!$B$12^13)),$C4))</x:f>
        <x:v>16.375185122891274</x:v>
      </x:c>
      <x:c r="Y4" s="68" t="n">
        <x:f>X4*(1+IF($C4&gt;='Assumptions'!$B$13,MAX('Assumptions'!$B$13,$C4*('Assumptions'!$B$12^14)),$C4))</x:f>
        <x:v>18.34020733763823</x:v>
      </x:c>
      <x:c r="Z4" s="68" t="n">
        <x:f>Y4*(1+IF($C4&gt;='Assumptions'!$B$13,MAX('Assumptions'!$B$13,$C4*('Assumptions'!$B$12^15)),$C4))</x:f>
        <x:v>20.541032218154818</x:v>
      </x:c>
      <x:c r="AA4" s="68" t="n">
        <x:f>Z4*(1+IF($C4&gt;='Assumptions'!$B$13,MAX('Assumptions'!$B$13,$C4*('Assumptions'!$B$12^16)),$C4))</x:f>
        <x:v>23.0059560843334</x:v>
      </x:c>
      <x:c r="AB4" s="68" t="n">
        <x:f>AA4*(1+IF($C4&gt;='Assumptions'!$B$13,MAX('Assumptions'!$B$13,$C4*('Assumptions'!$B$12^17)),$C4))</x:f>
        <x:v>25.76667081445341</x:v>
      </x:c>
      <x:c r="AC4" s="68" t="n">
        <x:f>AB4*(1+IF($C4&gt;='Assumptions'!$B$13,MAX('Assumptions'!$B$13,$C4*('Assumptions'!$B$12^18)),$C4))</x:f>
        <x:v>28.85867131218782</x:v>
      </x:c>
      <x:c r="AD4" s="68" t="n">
        <x:f>AC4*(1+IF($C4&gt;='Assumptions'!$B$13,MAX('Assumptions'!$B$13,$C4*('Assumptions'!$B$12^19)),$C4))</x:f>
        <x:v>32.321711869650365</x:v>
      </x:c>
      <x:c r="AE4" s="68" t="n">
        <x:f>AD4*(1+IF($C4&gt;='Assumptions'!$B$13,MAX('Assumptions'!$B$13,$C4*('Assumptions'!$B$12^20)),$C4))</x:f>
        <x:v>36.200317294008414</x:v>
      </x:c>
      <x:c r="AF4" s="68" t="n">
        <x:f>AE4*(1+IF($C4&gt;='Assumptions'!$B$13,MAX('Assumptions'!$B$13,$C4*('Assumptions'!$B$12^21)),$C4))</x:f>
        <x:v>40.54435536928943</x:v>
      </x:c>
      <x:c r="AG4" s="68" t="n">
        <x:f>AF4*(1+IF($C4&gt;='Assumptions'!$B$13,MAX('Assumptions'!$B$13,$C4*('Assumptions'!$B$12^22)),$C4))</x:f>
        <x:v>45.409678013604164</x:v>
      </x:c>
      <x:c r="AH4" s="68" t="n">
        <x:f>AG4*(1+IF($C4&gt;='Assumptions'!$B$13,MAX('Assumptions'!$B$13,$C4*('Assumptions'!$B$12^23)),$C4))</x:f>
        <x:v>50.85883937523667</x:v>
      </x:c>
      <x:c r="AI4" s="68" t="n">
        <x:f>AH4*(1+IF($C4&gt;='Assumptions'!$B$13,MAX('Assumptions'!$B$13,$C4*('Assumptions'!$B$12^24)),$C4))</x:f>
        <x:v>56.961900100265076</x:v>
      </x:c>
    </x:row>
    <x:row r="5">
      <x:c r="A5" s="65" t="str">
        <x:f>'Company Inputs'!A5</x:f>
        <x:v>5032</x:v>
      </x:c>
      <x:c r="B5" s="65" t="str">
        <x:f>'Company Inputs'!B5</x:f>
        <x:v>ANYCOLOR</x:v>
      </x:c>
      <x:c r="C5" s="6" t="n">
        <x:f>'Company Inputs'!F5</x:f>
        <x:v>0.10146000000000002</x:v>
      </x:c>
      <x:c r="D5" s="66" t="n">
        <x:f>IF('Company Inputs'!C5&gt;0,LN('Assumptions'!$B$4)/LN(1+'Company Inputs'!C5),"")</x:f>
        <x:v>1.6070080170407306</x:v>
      </x:c>
      <x:c r="E5" s="66" t="str">
        <x:f>IF('Company Inputs'!E5&gt;0,LN('Assumptions'!$B$4)/LN(1+'Company Inputs'!E5),"")</x:f>
      </x:c>
      <x:c r="F5" s="67" t="n">
        <x:f>IF(C5&gt;0,COUNTIF(J5:AI5,"&lt;"&amp;('Assumptions'!$B$4/'Assumptions'!$B$5)),"")</x:f>
        <x:v>5</x:v>
      </x:c>
      <x:c r="G5" s="67" t="n">
        <x:f>IF(C5&gt;0,COUNTIF(J5:AI5,"&lt;"&amp;('Assumptions'!$B$4/'Assumptions'!$B$6)),"")</x:f>
        <x:v>8</x:v>
      </x:c>
      <x:c r="H5" s="67" t="n">
        <x:f>IF(C5&gt;0,COUNTIF(J5:AI5,"&lt;"&amp;('Assumptions'!$B$4/'Assumptions'!$B$7)),"")</x:f>
        <x:v>11</x:v>
      </x:c>
      <x:c r="I5" s="67" t="n">
        <x:f>IF(C5&gt;0,COUNTIF(J5:AI5,"&lt;"&amp;('Assumptions'!$B$4*'Assumptions'!$B$8)),"")</x:f>
        <x:v>9</x:v>
      </x:c>
      <x:c r="J5" s="68" t="n">
        <x:v>1</x:v>
      </x:c>
      <x:c r="K5" s="68" t="n">
        <x:f>J5*(1+IF($C5&gt;='Assumptions'!$B$13,MAX('Assumptions'!$B$13,$C5*('Assumptions'!$B$12^0)),$C5))</x:f>
        <x:v>1.10146</x:v>
      </x:c>
      <x:c r="L5" s="68" t="n">
        <x:f>K5*(1+IF($C5&gt;='Assumptions'!$B$13,MAX('Assumptions'!$B$13,$C5*('Assumptions'!$B$12^1)),$C5))</x:f>
        <x:v>1.2132141316000002</x:v>
      </x:c>
      <x:c r="M5" s="68" t="n">
        <x:f>L5*(1+IF($C5&gt;='Assumptions'!$B$13,MAX('Assumptions'!$B$13,$C5*('Assumptions'!$B$12^2)),$C5))</x:f>
        <x:v>1.3363068373921363</x:v>
      </x:c>
      <x:c r="N5" s="68" t="n">
        <x:f>M5*(1+IF($C5&gt;='Assumptions'!$B$13,MAX('Assumptions'!$B$13,$C5*('Assumptions'!$B$12^3)),$C5))</x:f>
        <x:v>1.4718885291139425</x:v>
      </x:c>
      <x:c r="O5" s="68" t="n">
        <x:f>N5*(1+IF($C5&gt;='Assumptions'!$B$13,MAX('Assumptions'!$B$13,$C5*('Assumptions'!$B$12^4)),$C5))</x:f>
        <x:v>1.6212263392778432</x:v>
      </x:c>
      <x:c r="P5" s="68" t="n">
        <x:f>O5*(1+IF($C5&gt;='Assumptions'!$B$13,MAX('Assumptions'!$B$13,$C5*('Assumptions'!$B$12^5)),$C5))</x:f>
        <x:v>1.7857159636609734</x:v>
      </x:c>
      <x:c r="Q5" s="68" t="n">
        <x:f>P5*(1+IF($C5&gt;='Assumptions'!$B$13,MAX('Assumptions'!$B$13,$C5*('Assumptions'!$B$12^6)),$C5))</x:f>
        <x:v>1.966894705334016</x:v>
      </x:c>
      <x:c r="R5" s="68" t="n">
        <x:f>Q5*(1+IF($C5&gt;='Assumptions'!$B$13,MAX('Assumptions'!$B$13,$C5*('Assumptions'!$B$12^7)),$C5))</x:f>
        <x:v>2.1664558421372053</x:v>
      </x:c>
      <x:c r="S5" s="68" t="n">
        <x:f>R5*(1+IF($C5&gt;='Assumptions'!$B$13,MAX('Assumptions'!$B$13,$C5*('Assumptions'!$B$12^8)),$C5))</x:f>
        <x:v>2.3862644518804466</x:v>
      </x:c>
      <x:c r="T5" s="68" t="n">
        <x:f>S5*(1+IF($C5&gt;='Assumptions'!$B$13,MAX('Assumptions'!$B$13,$C5*('Assumptions'!$B$12^9)),$C5))</x:f>
        <x:v>2.628374843168237</x:v>
      </x:c>
      <x:c r="U5" s="68" t="n">
        <x:f>T5*(1+IF($C5&gt;='Assumptions'!$B$13,MAX('Assumptions'!$B$13,$C5*('Assumptions'!$B$12^10)),$C5))</x:f>
        <x:v>2.8950497547560867</x:v>
      </x:c>
      <x:c r="V5" s="68" t="n">
        <x:f>U5*(1+IF($C5&gt;='Assumptions'!$B$13,MAX('Assumptions'!$B$13,$C5*('Assumptions'!$B$12^11)),$C5))</x:f>
        <x:v>3.1887815028736397</x:v>
      </x:c>
      <x:c r="W5" s="68" t="n">
        <x:f>V5*(1+IF($C5&gt;='Assumptions'!$B$13,MAX('Assumptions'!$B$13,$C5*('Assumptions'!$B$12^12)),$C5))</x:f>
        <x:v>3.5123152741551995</x:v>
      </x:c>
      <x:c r="X5" s="68" t="n">
        <x:f>W5*(1+IF($C5&gt;='Assumptions'!$B$13,MAX('Assumptions'!$B$13,$C5*('Assumptions'!$B$12^13)),$C5))</x:f>
        <x:v>3.8686747818709866</x:v>
      </x:c>
      <x:c r="Y5" s="68" t="n">
        <x:f>X5*(1+IF($C5&gt;='Assumptions'!$B$13,MAX('Assumptions'!$B$13,$C5*('Assumptions'!$B$12^14)),$C5))</x:f>
        <x:v>4.261190525239617</x:v>
      </x:c>
      <x:c r="Z5" s="68" t="n">
        <x:f>Y5*(1+IF($C5&gt;='Assumptions'!$B$13,MAX('Assumptions'!$B$13,$C5*('Assumptions'!$B$12^15)),$C5))</x:f>
        <x:v>4.693530915930429</x:v>
      </x:c>
      <x:c r="AA5" s="68" t="n">
        <x:f>Z5*(1+IF($C5&gt;='Assumptions'!$B$13,MAX('Assumptions'!$B$13,$C5*('Assumptions'!$B$12^16)),$C5))</x:f>
        <x:v>5.169736562660731</x:v>
      </x:c>
      <x:c r="AB5" s="68" t="n">
        <x:f>AA5*(1+IF($C5&gt;='Assumptions'!$B$13,MAX('Assumptions'!$B$13,$C5*('Assumptions'!$B$12^17)),$C5))</x:f>
        <x:v>5.694258034308289</x:v>
      </x:c>
      <x:c r="AC5" s="68" t="n">
        <x:f>AB5*(1+IF($C5&gt;='Assumptions'!$B$13,MAX('Assumptions'!$B$13,$C5*('Assumptions'!$B$12^18)),$C5))</x:f>
        <x:v>6.271997454469209</x:v>
      </x:c>
      <x:c r="AD5" s="68" t="n">
        <x:f>AC5*(1+IF($C5&gt;='Assumptions'!$B$13,MAX('Assumptions'!$B$13,$C5*('Assumptions'!$B$12^19)),$C5))</x:f>
        <x:v>6.908354316199655</x:v>
      </x:c>
      <x:c r="AE5" s="68" t="n">
        <x:f>AD5*(1+IF($C5&gt;='Assumptions'!$B$13,MAX('Assumptions'!$B$13,$C5*('Assumptions'!$B$12^20)),$C5))</x:f>
        <x:v>7.609275945121273</x:v>
      </x:c>
      <x:c r="AF5" s="68" t="n">
        <x:f>AE5*(1+IF($C5&gt;='Assumptions'!$B$13,MAX('Assumptions'!$B$13,$C5*('Assumptions'!$B$12^21)),$C5))</x:f>
        <x:v>8.381313082513278</x:v>
      </x:c>
      <x:c r="AG5" s="68" t="n">
        <x:f>AF5*(1+IF($C5&gt;='Assumptions'!$B$13,MAX('Assumptions'!$B$13,$C5*('Assumptions'!$B$12^22)),$C5))</x:f>
        <x:v>9.231681107865077</x:v>
      </x:c>
      <x:c r="AH5" s="68" t="n">
        <x:f>AG5*(1+IF($C5&gt;='Assumptions'!$B$13,MAX('Assumptions'!$B$13,$C5*('Assumptions'!$B$12^23)),$C5))</x:f>
        <x:v>10.168327473069068</x:v>
      </x:c>
      <x:c r="AI5" s="68" t="n">
        <x:f>AH5*(1+IF($C5&gt;='Assumptions'!$B$13,MAX('Assumptions'!$B$13,$C5*('Assumptions'!$B$12^24)),$C5))</x:f>
        <x:v>11.200005978486656</x:v>
      </x:c>
    </x:row>
    <x:row r="6">
      <x:c r="A6" s="65" t="str">
        <x:f>'Company Inputs'!A6</x:f>
        <x:v>5038</x:v>
      </x:c>
      <x:c r="B6" s="65" t="str">
        <x:f>'Company Inputs'!B6</x:f>
        <x:v>eWeLL</x:v>
      </x:c>
      <x:c r="C6" s="6" t="n">
        <x:f>'Company Inputs'!F6</x:f>
        <x:v>0.26572</x:v>
      </x:c>
      <x:c r="D6" s="66" t="n">
        <x:f>IF('Company Inputs'!C6&gt;0,LN('Assumptions'!$B$4)/LN(1+'Company Inputs'!C6),"")</x:f>
        <x:v>2.6528216648344625</x:v>
      </x:c>
      <x:c r="E6" s="66" t="n">
        <x:f>IF('Company Inputs'!E6&gt;0,LN('Assumptions'!$B$4)/LN(1+'Company Inputs'!E6),"")</x:f>
        <x:v>3.062436825974976</x:v>
      </x:c>
      <x:c r="F6" s="67" t="n">
        <x:f>IF(C6&gt;0,COUNTIF(J6:AI6,"&lt;"&amp;('Assumptions'!$B$4/'Assumptions'!$B$5)),"")</x:f>
        <x:v>3</x:v>
      </x:c>
      <x:c r="G6" s="67" t="n">
        <x:f>IF(C6&gt;0,COUNTIF(J6:AI6,"&lt;"&amp;('Assumptions'!$B$4/'Assumptions'!$B$6)),"")</x:f>
        <x:v>4</x:v>
      </x:c>
      <x:c r="H6" s="67" t="n">
        <x:f>IF(C6&gt;0,COUNTIF(J6:AI6,"&lt;"&amp;('Assumptions'!$B$4/'Assumptions'!$B$7)),"")</x:f>
        <x:v>6</x:v>
      </x:c>
      <x:c r="I6" s="67" t="n">
        <x:f>IF(C6&gt;0,COUNTIF(J6:AI6,"&lt;"&amp;('Assumptions'!$B$4*'Assumptions'!$B$8)),"")</x:f>
        <x:v>4</x:v>
      </x:c>
      <x:c r="J6" s="68" t="n">
        <x:v>1</x:v>
      </x:c>
      <x:c r="K6" s="68" t="n">
        <x:f>J6*(1+IF($C6&gt;='Assumptions'!$B$13,MAX('Assumptions'!$B$13,$C6*('Assumptions'!$B$12^0)),$C6))</x:f>
        <x:v>1.26572</x:v>
      </x:c>
      <x:c r="L6" s="68" t="n">
        <x:f>K6*(1+IF($C6&gt;='Assumptions'!$B$13,MAX('Assumptions'!$B$13,$C6*('Assumptions'!$B$12^1)),$C6))</x:f>
        <x:v>1.561687864192</x:v>
      </x:c>
      <x:c r="M6" s="68" t="n">
        <x:f>L6*(1+IF($C6&gt;='Assumptions'!$B$13,MAX('Assumptions'!$B$13,$C6*('Assumptions'!$B$12^2)),$C6))</x:f>
        <x:v>1.8830419481090872</x:v>
      </x:c>
      <x:c r="N6" s="68" t="n">
        <x:f>M6*(1+IF($C6&gt;='Assumptions'!$B$13,MAX('Assumptions'!$B$13,$C6*('Assumptions'!$B$12^3)),$C6))</x:f>
        <x:v>2.2240245772224356</x:v>
      </x:c>
      <x:c r="O6" s="68" t="n">
        <x:f>N6*(1+IF($C6&gt;='Assumptions'!$B$13,MAX('Assumptions'!$B$13,$C6*('Assumptions'!$B$12^4)),$C6))</x:f>
        <x:v>2.578425231184324</x:v>
      </x:c>
      <x:c r="P6" s="68" t="n">
        <x:f>O6*(1+IF($C6&gt;='Assumptions'!$B$13,MAX('Assumptions'!$B$13,$C6*('Assumptions'!$B$12^5)),$C6))</x:f>
        <x:v>2.939995029371093</x:v>
      </x:c>
      <x:c r="Q6" s="68" t="n">
        <x:f>P6*(1+IF($C6&gt;='Assumptions'!$B$13,MAX('Assumptions'!$B$13,$C6*('Assumptions'!$B$12^6)),$C6))</x:f>
        <x:v>3.302794690572577</x:v>
      </x:c>
      <x:c r="R6" s="68" t="n">
        <x:f>Q6*(1+IF($C6&gt;='Assumptions'!$B$13,MAX('Assumptions'!$B$13,$C6*('Assumptions'!$B$12^7)),$C6))</x:f>
        <x:v>3.6991300534412863</x:v>
      </x:c>
      <x:c r="S6" s="68" t="n">
        <x:f>R6*(1+IF($C6&gt;='Assumptions'!$B$13,MAX('Assumptions'!$B$13,$C6*('Assumptions'!$B$12^8)),$C6))</x:f>
        <x:v>4.143025659854241</x:v>
      </x:c>
      <x:c r="T6" s="68" t="n">
        <x:f>S6*(1+IF($C6&gt;='Assumptions'!$B$13,MAX('Assumptions'!$B$13,$C6*('Assumptions'!$B$12^9)),$C6))</x:f>
        <x:v>4.64018873903675</x:v>
      </x:c>
      <x:c r="U6" s="68" t="n">
        <x:f>T6*(1+IF($C6&gt;='Assumptions'!$B$13,MAX('Assumptions'!$B$13,$C6*('Assumptions'!$B$12^10)),$C6))</x:f>
        <x:v>5.197011387721161</x:v>
      </x:c>
      <x:c r="V6" s="68" t="n">
        <x:f>U6*(1+IF($C6&gt;='Assumptions'!$B$13,MAX('Assumptions'!$B$13,$C6*('Assumptions'!$B$12^11)),$C6))</x:f>
        <x:v>5.820652754247701</x:v>
      </x:c>
      <x:c r="W6" s="68" t="n">
        <x:f>V6*(1+IF($C6&gt;='Assumptions'!$B$13,MAX('Assumptions'!$B$13,$C6*('Assumptions'!$B$12^12)),$C6))</x:f>
        <x:v>6.519131084757426</x:v>
      </x:c>
      <x:c r="X6" s="68" t="n">
        <x:f>W6*(1+IF($C6&gt;='Assumptions'!$B$13,MAX('Assumptions'!$B$13,$C6*('Assumptions'!$B$12^13)),$C6))</x:f>
        <x:v>7.301426814928318</x:v>
      </x:c>
      <x:c r="Y6" s="68" t="n">
        <x:f>X6*(1+IF($C6&gt;='Assumptions'!$B$13,MAX('Assumptions'!$B$13,$C6*('Assumptions'!$B$12^14)),$C6))</x:f>
        <x:v>8.177598032719716</x:v>
      </x:c>
      <x:c r="Z6" s="68" t="n">
        <x:f>Y6*(1+IF($C6&gt;='Assumptions'!$B$13,MAX('Assumptions'!$B$13,$C6*('Assumptions'!$B$12^15)),$C6))</x:f>
        <x:v>9.158909796646084</x:v>
      </x:c>
      <x:c r="AA6" s="68" t="n">
        <x:f>Z6*(1+IF($C6&gt;='Assumptions'!$B$13,MAX('Assumptions'!$B$13,$C6*('Assumptions'!$B$12^16)),$C6))</x:f>
        <x:v>10.257978972243615</x:v>
      </x:c>
      <x:c r="AB6" s="68" t="n">
        <x:f>AA6*(1+IF($C6&gt;='Assumptions'!$B$13,MAX('Assumptions'!$B$13,$C6*('Assumptions'!$B$12^17)),$C6))</x:f>
        <x:v>11.48893644891285</x:v>
      </x:c>
      <x:c r="AC6" s="68" t="n">
        <x:f>AB6*(1+IF($C6&gt;='Assumptions'!$B$13,MAX('Assumptions'!$B$13,$C6*('Assumptions'!$B$12^18)),$C6))</x:f>
        <x:v>12.867608822782394</x:v>
      </x:c>
      <x:c r="AD6" s="68" t="n">
        <x:f>AC6*(1+IF($C6&gt;='Assumptions'!$B$13,MAX('Assumptions'!$B$13,$C6*('Assumptions'!$B$12^19)),$C6))</x:f>
        <x:v>14.411721881516282</x:v>
      </x:c>
      <x:c r="AE6" s="68" t="n">
        <x:f>AD6*(1+IF($C6&gt;='Assumptions'!$B$13,MAX('Assumptions'!$B$13,$C6*('Assumptions'!$B$12^20)),$C6))</x:f>
        <x:v>16.141128507298237</x:v>
      </x:c>
      <x:c r="AF6" s="68" t="n">
        <x:f>AE6*(1+IF($C6&gt;='Assumptions'!$B$13,MAX('Assumptions'!$B$13,$C6*('Assumptions'!$B$12^21)),$C6))</x:f>
        <x:v>18.07806392817403</x:v>
      </x:c>
      <x:c r="AG6" s="68" t="n">
        <x:f>AF6*(1+IF($C6&gt;='Assumptions'!$B$13,MAX('Assumptions'!$B$13,$C6*('Assumptions'!$B$12^22)),$C6))</x:f>
        <x:v>20.247431599554915</x:v>
      </x:c>
      <x:c r="AH6" s="68" t="n">
        <x:f>AG6*(1+IF($C6&gt;='Assumptions'!$B$13,MAX('Assumptions'!$B$13,$C6*('Assumptions'!$B$12^23)),$C6))</x:f>
        <x:v>22.677123391501507</x:v>
      </x:c>
      <x:c r="AI6" s="68" t="n">
        <x:f>AH6*(1+IF($C6&gt;='Assumptions'!$B$13,MAX('Assumptions'!$B$13,$C6*('Assumptions'!$B$12^24)),$C6))</x:f>
        <x:v>25.39837819848169</x:v>
      </x:c>
    </x:row>
    <x:row r="7">
      <x:c r="A7" s="65" t="str">
        <x:f>'Company Inputs'!A7</x:f>
        <x:v>5132</x:v>
      </x:c>
      <x:c r="B7" s="65" t="str">
        <x:f>'Company Inputs'!B7</x:f>
        <x:v>pluszero</x:v>
      </x:c>
      <x:c r="C7" s="6" t="n">
        <x:f>'Company Inputs'!F7</x:f>
        <x:v>0.36022</x:v>
      </x:c>
      <x:c r="D7" s="66" t="n">
        <x:f>IF('Company Inputs'!C7&gt;0,LN('Assumptions'!$B$4)/LN(1+'Company Inputs'!C7),"")</x:f>
        <x:v>2.4891741163330696</x:v>
      </x:c>
      <x:c r="E7" s="66" t="n">
        <x:f>IF('Company Inputs'!E7&gt;0,LN('Assumptions'!$B$4)/LN(1+'Company Inputs'!E7),"")</x:f>
        <x:v>1.9008920084619652</x:v>
      </x:c>
      <x:c r="F7" s="67" t="n">
        <x:f>IF(C7&gt;0,COUNTIF(J7:AI7,"&lt;"&amp;('Assumptions'!$B$4/'Assumptions'!$B$5)),"")</x:f>
        <x:v>2</x:v>
      </x:c>
      <x:c r="G7" s="67" t="n">
        <x:f>IF(C7&gt;0,COUNTIF(J7:AI7,"&lt;"&amp;('Assumptions'!$B$4/'Assumptions'!$B$6)),"")</x:f>
        <x:v>3</x:v>
      </x:c>
      <x:c r="H7" s="67" t="n">
        <x:f>IF(C7&gt;0,COUNTIF(J7:AI7,"&lt;"&amp;('Assumptions'!$B$4/'Assumptions'!$B$7)),"")</x:f>
        <x:v>4</x:v>
      </x:c>
      <x:c r="I7" s="67" t="n">
        <x:f>IF(C7&gt;0,COUNTIF(J7:AI7,"&lt;"&amp;('Assumptions'!$B$4*'Assumptions'!$B$8)),"")</x:f>
        <x:v>3</x:v>
      </x:c>
      <x:c r="J7" s="68" t="n">
        <x:v>1</x:v>
      </x:c>
      <x:c r="K7" s="68" t="n">
        <x:f>J7*(1+IF($C7&gt;='Assumptions'!$B$13,MAX('Assumptions'!$B$13,$C7*('Assumptions'!$B$12^0)),$C7))</x:f>
        <x:v>1.36022</x:v>
      </x:c>
      <x:c r="L7" s="68" t="n">
        <x:f>K7*(1+IF($C7&gt;='Assumptions'!$B$13,MAX('Assumptions'!$B$13,$C7*('Assumptions'!$B$12^1)),$C7))</x:f>
        <x:v>1.791401034592</x:v>
      </x:c>
      <x:c r="M7" s="68" t="n">
        <x:f>L7*(1+IF($C7&gt;='Assumptions'!$B$13,MAX('Assumptions'!$B$13,$C7*('Assumptions'!$B$12^2)),$C7))</x:f>
        <x:v>2.291120178031157</x:v>
      </x:c>
      <x:c r="N7" s="68" t="n">
        <x:f>M7*(1+IF($C7&gt;='Assumptions'!$B$13,MAX('Assumptions'!$B$13,$C7*('Assumptions'!$B$12^3)),$C7))</x:f>
        <x:v>2.853544001552919</x:v>
      </x:c>
      <x:c r="O7" s="68" t="n">
        <x:f>N7*(1+IF($C7&gt;='Assumptions'!$B$13,MAX('Assumptions'!$B$13,$C7*('Assumptions'!$B$12^4)),$C7))</x:f>
        <x:v>3.4699730331376846</x:v>
      </x:c>
      <x:c r="P7" s="68" t="n">
        <x:f>O7*(1+IF($C7&gt;='Assumptions'!$B$13,MAX('Assumptions'!$B$13,$C7*('Assumptions'!$B$12^5)),$C7))</x:f>
        <x:v>4.129613487760031</x:v>
      </x:c>
      <x:c r="Q7" s="68" t="n">
        <x:f>P7*(1+IF($C7&gt;='Assumptions'!$B$13,MAX('Assumptions'!$B$13,$C7*('Assumptions'!$B$12^6)),$C7))</x:f>
        <x:v>4.820446782823224</x:v>
      </x:c>
      <x:c r="R7" s="68" t="n">
        <x:f>Q7*(1+IF($C7&gt;='Assumptions'!$B$13,MAX('Assumptions'!$B$13,$C7*('Assumptions'!$B$12^7)),$C7))</x:f>
        <x:v>5.5300798095415535</x:v>
      </x:c>
      <x:c r="S7" s="68" t="n">
        <x:f>R7*(1+IF($C7&gt;='Assumptions'!$B$13,MAX('Assumptions'!$B$13,$C7*('Assumptions'!$B$12^8)),$C7))</x:f>
        <x:v>6.246488092017737</x:v>
      </x:c>
      <x:c r="T7" s="68" t="n">
        <x:f>S7*(1+IF($C7&gt;='Assumptions'!$B$13,MAX('Assumptions'!$B$13,$C7*('Assumptions'!$B$12^9)),$C7))</x:f>
        <x:v>6.996066663059866</x:v>
      </x:c>
      <x:c r="U7" s="68" t="n">
        <x:f>T7*(1+IF($C7&gt;='Assumptions'!$B$13,MAX('Assumptions'!$B$13,$C7*('Assumptions'!$B$12^10)),$C7))</x:f>
        <x:v>7.8355946626270505</x:v>
      </x:c>
      <x:c r="V7" s="68" t="n">
        <x:f>U7*(1+IF($C7&gt;='Assumptions'!$B$13,MAX('Assumptions'!$B$13,$C7*('Assumptions'!$B$12^11)),$C7))</x:f>
        <x:v>8.775866022142297</x:v>
      </x:c>
      <x:c r="W7" s="68" t="n">
        <x:f>V7*(1+IF($C7&gt;='Assumptions'!$B$13,MAX('Assumptions'!$B$13,$C7*('Assumptions'!$B$12^12)),$C7))</x:f>
        <x:v>9.828969944799374</x:v>
      </x:c>
      <x:c r="X7" s="68" t="n">
        <x:f>W7*(1+IF($C7&gt;='Assumptions'!$B$13,MAX('Assumptions'!$B$13,$C7*('Assumptions'!$B$12^13)),$C7))</x:f>
        <x:v>11.0084463381753</x:v>
      </x:c>
      <x:c r="Y7" s="68" t="n">
        <x:f>X7*(1+IF($C7&gt;='Assumptions'!$B$13,MAX('Assumptions'!$B$13,$C7*('Assumptions'!$B$12^14)),$C7))</x:f>
        <x:v>12.329459898756337</x:v>
      </x:c>
      <x:c r="Z7" s="68" t="n">
        <x:f>Y7*(1+IF($C7&gt;='Assumptions'!$B$13,MAX('Assumptions'!$B$13,$C7*('Assumptions'!$B$12^15)),$C7))</x:f>
        <x:v>13.808995086607098</x:v>
      </x:c>
      <x:c r="AA7" s="68" t="n">
        <x:f>Z7*(1+IF($C7&gt;='Assumptions'!$B$13,MAX('Assumptions'!$B$13,$C7*('Assumptions'!$B$12^16)),$C7))</x:f>
        <x:v>15.466074496999951</x:v>
      </x:c>
      <x:c r="AB7" s="68" t="n">
        <x:f>AA7*(1+IF($C7&gt;='Assumptions'!$B$13,MAX('Assumptions'!$B$13,$C7*('Assumptions'!$B$12^17)),$C7))</x:f>
        <x:v>17.322003436639946</x:v>
      </x:c>
      <x:c r="AC7" s="68" t="n">
        <x:f>AB7*(1+IF($C7&gt;='Assumptions'!$B$13,MAX('Assumptions'!$B$13,$C7*('Assumptions'!$B$12^18)),$C7))</x:f>
        <x:v>19.40064384903674</x:v>
      </x:c>
      <x:c r="AD7" s="68" t="n">
        <x:f>AC7*(1+IF($C7&gt;='Assumptions'!$B$13,MAX('Assumptions'!$B$13,$C7*('Assumptions'!$B$12^19)),$C7))</x:f>
        <x:v>21.72872111092115</x:v>
      </x:c>
      <x:c r="AE7" s="68" t="n">
        <x:f>AD7*(1+IF($C7&gt;='Assumptions'!$B$13,MAX('Assumptions'!$B$13,$C7*('Assumptions'!$B$12^20)),$C7))</x:f>
        <x:v>24.33616764423169</x:v>
      </x:c>
      <x:c r="AF7" s="68" t="n">
        <x:f>AE7*(1+IF($C7&gt;='Assumptions'!$B$13,MAX('Assumptions'!$B$13,$C7*('Assumptions'!$B$12^21)),$C7))</x:f>
        <x:v>27.256507761539496</x:v>
      </x:c>
      <x:c r="AG7" s="68" t="n">
        <x:f>AF7*(1+IF($C7&gt;='Assumptions'!$B$13,MAX('Assumptions'!$B$13,$C7*('Assumptions'!$B$12^22)),$C7))</x:f>
        <x:v>30.527288692924238</x:v>
      </x:c>
      <x:c r="AH7" s="68" t="n">
        <x:f>AG7*(1+IF($C7&gt;='Assumptions'!$B$13,MAX('Assumptions'!$B$13,$C7*('Assumptions'!$B$12^23)),$C7))</x:f>
        <x:v>34.19056333607515</x:v>
      </x:c>
      <x:c r="AI7" s="68" t="n">
        <x:f>AH7*(1+IF($C7&gt;='Assumptions'!$B$13,MAX('Assumptions'!$B$13,$C7*('Assumptions'!$B$12^24)),$C7))</x:f>
        <x:v>38.29343093640417</x:v>
      </x:c>
    </x:row>
    <x:row r="8">
      <x:c r="A8" s="65" t="str">
        <x:f>'Company Inputs'!A8</x:f>
        <x:v>5134</x:v>
      </x:c>
      <x:c r="B8" s="65" t="str">
        <x:f>'Company Inputs'!B8</x:f>
        <x:v>POPER</x:v>
      </x:c>
      <x:c r="C8" s="6" t="n">
        <x:f>'Company Inputs'!F8</x:f>
        <x:v>0</x:v>
      </x:c>
      <x:c r="D8" s="66" t="n">
        <x:f>IF('Company Inputs'!C8&gt;0,LN('Assumptions'!$B$4)/LN(1+'Company Inputs'!C8),"")</x:f>
        <x:v>2.424817471239734</x:v>
      </x:c>
      <x:c r="E8" s="66" t="str">
        <x:f>IF('Company Inputs'!E8&gt;0,LN('Assumptions'!$B$4)/LN(1+'Company Inputs'!E8),"")</x:f>
      </x:c>
      <x:c r="F8" s="67" t="str">
        <x:f>IF(C8&gt;0,COUNTIF(J8:AI8,"&lt;"&amp;('Assumptions'!$B$4/'Assumptions'!$B$5)),"")</x:f>
      </x:c>
      <x:c r="G8" s="67" t="str">
        <x:f>IF(C8&gt;0,COUNTIF(J8:AI8,"&lt;"&amp;('Assumptions'!$B$4/'Assumptions'!$B$6)),"")</x:f>
      </x:c>
      <x:c r="H8" s="67" t="str">
        <x:f>IF(C8&gt;0,COUNTIF(J8:AI8,"&lt;"&amp;('Assumptions'!$B$4/'Assumptions'!$B$7)),"")</x:f>
      </x:c>
      <x:c r="I8" s="67" t="str">
        <x:f>IF(C8&gt;0,COUNTIF(J8:AI8,"&lt;"&amp;('Assumptions'!$B$4*'Assumptions'!$B$8)),"")</x:f>
      </x:c>
      <x:c r="J8" s="68" t="n">
        <x:v>1</x:v>
      </x:c>
      <x:c r="K8" s="68" t="n">
        <x:f>J8*(1+IF($C8&gt;='Assumptions'!$B$13,MAX('Assumptions'!$B$13,$C8*('Assumptions'!$B$12^0)),$C8))</x:f>
        <x:v>1</x:v>
      </x:c>
      <x:c r="L8" s="68" t="n">
        <x:f>K8*(1+IF($C8&gt;='Assumptions'!$B$13,MAX('Assumptions'!$B$13,$C8*('Assumptions'!$B$12^1)),$C8))</x:f>
        <x:v>1</x:v>
      </x:c>
      <x:c r="M8" s="68" t="n">
        <x:f>L8*(1+IF($C8&gt;='Assumptions'!$B$13,MAX('Assumptions'!$B$13,$C8*('Assumptions'!$B$12^2)),$C8))</x:f>
        <x:v>1</x:v>
      </x:c>
      <x:c r="N8" s="68" t="n">
        <x:f>M8*(1+IF($C8&gt;='Assumptions'!$B$13,MAX('Assumptions'!$B$13,$C8*('Assumptions'!$B$12^3)),$C8))</x:f>
        <x:v>1</x:v>
      </x:c>
      <x:c r="O8" s="68" t="n">
        <x:f>N8*(1+IF($C8&gt;='Assumptions'!$B$13,MAX('Assumptions'!$B$13,$C8*('Assumptions'!$B$12^4)),$C8))</x:f>
        <x:v>1</x:v>
      </x:c>
      <x:c r="P8" s="68" t="n">
        <x:f>O8*(1+IF($C8&gt;='Assumptions'!$B$13,MAX('Assumptions'!$B$13,$C8*('Assumptions'!$B$12^5)),$C8))</x:f>
        <x:v>1</x:v>
      </x:c>
      <x:c r="Q8" s="68" t="n">
        <x:f>P8*(1+IF($C8&gt;='Assumptions'!$B$13,MAX('Assumptions'!$B$13,$C8*('Assumptions'!$B$12^6)),$C8))</x:f>
        <x:v>1</x:v>
      </x:c>
      <x:c r="R8" s="68" t="n">
        <x:f>Q8*(1+IF($C8&gt;='Assumptions'!$B$13,MAX('Assumptions'!$B$13,$C8*('Assumptions'!$B$12^7)),$C8))</x:f>
        <x:v>1</x:v>
      </x:c>
      <x:c r="S8" s="68" t="n">
        <x:f>R8*(1+IF($C8&gt;='Assumptions'!$B$13,MAX('Assumptions'!$B$13,$C8*('Assumptions'!$B$12^8)),$C8))</x:f>
        <x:v>1</x:v>
      </x:c>
      <x:c r="T8" s="68" t="n">
        <x:f>S8*(1+IF($C8&gt;='Assumptions'!$B$13,MAX('Assumptions'!$B$13,$C8*('Assumptions'!$B$12^9)),$C8))</x:f>
        <x:v>1</x:v>
      </x:c>
      <x:c r="U8" s="68" t="n">
        <x:f>T8*(1+IF($C8&gt;='Assumptions'!$B$13,MAX('Assumptions'!$B$13,$C8*('Assumptions'!$B$12^10)),$C8))</x:f>
        <x:v>1</x:v>
      </x:c>
      <x:c r="V8" s="68" t="n">
        <x:f>U8*(1+IF($C8&gt;='Assumptions'!$B$13,MAX('Assumptions'!$B$13,$C8*('Assumptions'!$B$12^11)),$C8))</x:f>
        <x:v>1</x:v>
      </x:c>
      <x:c r="W8" s="68" t="n">
        <x:f>V8*(1+IF($C8&gt;='Assumptions'!$B$13,MAX('Assumptions'!$B$13,$C8*('Assumptions'!$B$12^12)),$C8))</x:f>
        <x:v>1</x:v>
      </x:c>
      <x:c r="X8" s="68" t="n">
        <x:f>W8*(1+IF($C8&gt;='Assumptions'!$B$13,MAX('Assumptions'!$B$13,$C8*('Assumptions'!$B$12^13)),$C8))</x:f>
        <x:v>1</x:v>
      </x:c>
      <x:c r="Y8" s="68" t="n">
        <x:f>X8*(1+IF($C8&gt;='Assumptions'!$B$13,MAX('Assumptions'!$B$13,$C8*('Assumptions'!$B$12^14)),$C8))</x:f>
        <x:v>1</x:v>
      </x:c>
      <x:c r="Z8" s="68" t="n">
        <x:f>Y8*(1+IF($C8&gt;='Assumptions'!$B$13,MAX('Assumptions'!$B$13,$C8*('Assumptions'!$B$12^15)),$C8))</x:f>
        <x:v>1</x:v>
      </x:c>
      <x:c r="AA8" s="68" t="n">
        <x:f>Z8*(1+IF($C8&gt;='Assumptions'!$B$13,MAX('Assumptions'!$B$13,$C8*('Assumptions'!$B$12^16)),$C8))</x:f>
        <x:v>1</x:v>
      </x:c>
      <x:c r="AB8" s="68" t="n">
        <x:f>AA8*(1+IF($C8&gt;='Assumptions'!$B$13,MAX('Assumptions'!$B$13,$C8*('Assumptions'!$B$12^17)),$C8))</x:f>
        <x:v>1</x:v>
      </x:c>
      <x:c r="AC8" s="68" t="n">
        <x:f>AB8*(1+IF($C8&gt;='Assumptions'!$B$13,MAX('Assumptions'!$B$13,$C8*('Assumptions'!$B$12^18)),$C8))</x:f>
        <x:v>1</x:v>
      </x:c>
      <x:c r="AD8" s="68" t="n">
        <x:f>AC8*(1+IF($C8&gt;='Assumptions'!$B$13,MAX('Assumptions'!$B$13,$C8*('Assumptions'!$B$12^19)),$C8))</x:f>
        <x:v>1</x:v>
      </x:c>
      <x:c r="AE8" s="68" t="n">
        <x:f>AD8*(1+IF($C8&gt;='Assumptions'!$B$13,MAX('Assumptions'!$B$13,$C8*('Assumptions'!$B$12^20)),$C8))</x:f>
        <x:v>1</x:v>
      </x:c>
      <x:c r="AF8" s="68" t="n">
        <x:f>AE8*(1+IF($C8&gt;='Assumptions'!$B$13,MAX('Assumptions'!$B$13,$C8*('Assumptions'!$B$12^21)),$C8))</x:f>
        <x:v>1</x:v>
      </x:c>
      <x:c r="AG8" s="68" t="n">
        <x:f>AF8*(1+IF($C8&gt;='Assumptions'!$B$13,MAX('Assumptions'!$B$13,$C8*('Assumptions'!$B$12^22)),$C8))</x:f>
        <x:v>1</x:v>
      </x:c>
      <x:c r="AH8" s="68" t="n">
        <x:f>AG8*(1+IF($C8&gt;='Assumptions'!$B$13,MAX('Assumptions'!$B$13,$C8*('Assumptions'!$B$12^23)),$C8))</x:f>
        <x:v>1</x:v>
      </x:c>
      <x:c r="AI8" s="68" t="n">
        <x:f>AH8*(1+IF($C8&gt;='Assumptions'!$B$13,MAX('Assumptions'!$B$13,$C8*('Assumptions'!$B$12^24)),$C8))</x:f>
        <x:v>1</x:v>
      </x:c>
    </x:row>
    <x:row r="9">
      <x:c r="A9" s="65" t="str">
        <x:f>'Company Inputs'!A9</x:f>
        <x:v>5136</x:v>
      </x:c>
      <x:c r="B9" s="65" t="str">
        <x:f>'Company Inputs'!B9</x:f>
        <x:v>tripla</x:v>
      </x:c>
      <x:c r="C9" s="6" t="n">
        <x:f>'Company Inputs'!F9</x:f>
        <x:v>0.46436</x:v>
      </x:c>
      <x:c r="D9" s="66" t="n">
        <x:f>IF('Company Inputs'!C9&gt;0,LN('Assumptions'!$B$4)/LN(1+'Company Inputs'!C9),"")</x:f>
        <x:v>1.9162418258998297</x:v>
      </x:c>
      <x:c r="E9" s="66" t="n">
        <x:f>IF('Company Inputs'!E9&gt;0,LN('Assumptions'!$B$4)/LN(1+'Company Inputs'!E9),"")</x:f>
        <x:v>1.5111456059604007</x:v>
      </x:c>
      <x:c r="F9" s="67" t="n">
        <x:f>IF(C9&gt;0,COUNTIF(J9:AI9,"&lt;"&amp;('Assumptions'!$B$4/'Assumptions'!$B$5)),"")</x:f>
        <x:v>2</x:v>
      </x:c>
      <x:c r="G9" s="67" t="n">
        <x:f>IF(C9&gt;0,COUNTIF(J9:AI9,"&lt;"&amp;('Assumptions'!$B$4/'Assumptions'!$B$6)),"")</x:f>
        <x:v>2</x:v>
      </x:c>
      <x:c r="H9" s="67" t="n">
        <x:f>IF(C9&gt;0,COUNTIF(J9:AI9,"&lt;"&amp;('Assumptions'!$B$4/'Assumptions'!$B$7)),"")</x:f>
        <x:v>3</x:v>
      </x:c>
      <x:c r="I9" s="67" t="n">
        <x:f>IF(C9&gt;0,COUNTIF(J9:AI9,"&lt;"&amp;('Assumptions'!$B$4*'Assumptions'!$B$8)),"")</x:f>
        <x:v>3</x:v>
      </x:c>
      <x:c r="J9" s="68" t="n">
        <x:v>1</x:v>
      </x:c>
      <x:c r="K9" s="68" t="n">
        <x:f>J9*(1+IF($C9&gt;='Assumptions'!$B$13,MAX('Assumptions'!$B$13,$C9*('Assumptions'!$B$12^0)),$C9))</x:f>
        <x:v>1.46436</x:v>
      </x:c>
      <x:c r="L9" s="68" t="n">
        <x:f>K9*(1+IF($C9&gt;='Assumptions'!$B$13,MAX('Assumptions'!$B$13,$C9*('Assumptions'!$B$12^1)),$C9))</x:f>
        <x:v>2.062751384448</x:v>
      </x:c>
      <x:c r="M9" s="68" t="n">
        <x:f>L9*(1+IF($C9&gt;='Assumptions'!$B$13,MAX('Assumptions'!$B$13,$C9*('Assumptions'!$B$12^2)),$C9))</x:f>
        <x:v>2.8045175743920323</x:v>
      </x:c>
      <x:c r="N9" s="68" t="n">
        <x:f>M9*(1+IF($C9&gt;='Assumptions'!$B$13,MAX('Assumptions'!$B$13,$C9*('Assumptions'!$B$12^3)),$C9))</x:f>
        <x:v>3.692002499475821</x:v>
      </x:c>
      <x:c r="O9" s="68" t="n">
        <x:f>N9*(1+IF($C9&gt;='Assumptions'!$B$13,MAX('Assumptions'!$B$13,$C9*('Assumptions'!$B$12^4)),$C9))</x:f>
        <x:v>4.720131187484758</x:v>
      </x:c>
      <x:c r="P9" s="68" t="n">
        <x:f>O9*(1+IF($C9&gt;='Assumptions'!$B$13,MAX('Assumptions'!$B$13,$C9*('Assumptions'!$B$12^5)),$C9))</x:f>
        <x:v>5.87683517439236</x:v>
      </x:c>
      <x:c r="Q9" s="68" t="n">
        <x:f>P9*(1+IF($C9&gt;='Assumptions'!$B$13,MAX('Assumptions'!$B$13,$C9*('Assumptions'!$B$12^6)),$C9))</x:f>
        <x:v>7.144178686217915</x:v>
      </x:c>
      <x:c r="R9" s="68" t="n">
        <x:f>Q9*(1+IF($C9&gt;='Assumptions'!$B$13,MAX('Assumptions'!$B$13,$C9*('Assumptions'!$B$12^7)),$C9))</x:f>
        <x:v>8.499948049868381</x:v>
      </x:c>
      <x:c r="S9" s="68" t="n">
        <x:f>R9*(1+IF($C9&gt;='Assumptions'!$B$13,MAX('Assumptions'!$B$13,$C9*('Assumptions'!$B$12^8)),$C9))</x:f>
        <x:v>9.919438421681138</x:v>
      </x:c>
      <x:c r="T9" s="68" t="n">
        <x:f>S9*(1+IF($C9&gt;='Assumptions'!$B$13,MAX('Assumptions'!$B$13,$C9*('Assumptions'!$B$12^9)),$C9))</x:f>
        <x:v>11.377198113936416</x:v>
      </x:c>
      <x:c r="U9" s="68" t="n">
        <x:f>T9*(1+IF($C9&gt;='Assumptions'!$B$13,MAX('Assumptions'!$B$13,$C9*('Assumptions'!$B$12^10)),$C9))</x:f>
        <x:v>12.84855099726525</x:v>
      </x:c>
      <x:c r="V9" s="68" t="n">
        <x:f>U9*(1+IF($C9&gt;='Assumptions'!$B$13,MAX('Assumptions'!$B$13,$C9*('Assumptions'!$B$12^11)),$C9))</x:f>
        <x:v>14.390377116937081</x:v>
      </x:c>
      <x:c r="W9" s="68" t="n">
        <x:f>V9*(1+IF($C9&gt;='Assumptions'!$B$13,MAX('Assumptions'!$B$13,$C9*('Assumptions'!$B$12^12)),$C9))</x:f>
        <x:v>16.117222370969532</x:v>
      </x:c>
      <x:c r="X9" s="68" t="n">
        <x:f>W9*(1+IF($C9&gt;='Assumptions'!$B$13,MAX('Assumptions'!$B$13,$C9*('Assumptions'!$B$12^13)),$C9))</x:f>
        <x:v>18.051289055485878</x:v>
      </x:c>
      <x:c r="Y9" s="68" t="n">
        <x:f>X9*(1+IF($C9&gt;='Assumptions'!$B$13,MAX('Assumptions'!$B$13,$C9*('Assumptions'!$B$12^14)),$C9))</x:f>
        <x:v>20.217443742144184</x:v>
      </x:c>
      <x:c r="Z9" s="68" t="n">
        <x:f>Y9*(1+IF($C9&gt;='Assumptions'!$B$13,MAX('Assumptions'!$B$13,$C9*('Assumptions'!$B$12^15)),$C9))</x:f>
        <x:v>22.643536991201486</x:v>
      </x:c>
      <x:c r="AA9" s="68" t="n">
        <x:f>Z9*(1+IF($C9&gt;='Assumptions'!$B$13,MAX('Assumptions'!$B$13,$C9*('Assumptions'!$B$12^16)),$C9))</x:f>
        <x:v>25.36076143014567</x:v>
      </x:c>
      <x:c r="AB9" s="68" t="n">
        <x:f>AA9*(1+IF($C9&gt;='Assumptions'!$B$13,MAX('Assumptions'!$B$13,$C9*('Assumptions'!$B$12^17)),$C9))</x:f>
        <x:v>28.40405280176315</x:v>
      </x:c>
      <x:c r="AC9" s="68" t="n">
        <x:f>AB9*(1+IF($C9&gt;='Assumptions'!$B$13,MAX('Assumptions'!$B$13,$C9*('Assumptions'!$B$12^18)),$C9))</x:f>
        <x:v>31.81253913797473</x:v>
      </x:c>
      <x:c r="AD9" s="68" t="n">
        <x:f>AC9*(1+IF($C9&gt;='Assumptions'!$B$13,MAX('Assumptions'!$B$13,$C9*('Assumptions'!$B$12^19)),$C9))</x:f>
        <x:v>35.630043834531705</x:v>
      </x:c>
      <x:c r="AE9" s="68" t="n">
        <x:f>AD9*(1+IF($C9&gt;='Assumptions'!$B$13,MAX('Assumptions'!$B$13,$C9*('Assumptions'!$B$12^20)),$C9))</x:f>
        <x:v>39.90564909467551</x:v>
      </x:c>
      <x:c r="AF9" s="68" t="n">
        <x:f>AE9*(1+IF($C9&gt;='Assumptions'!$B$13,MAX('Assumptions'!$B$13,$C9*('Assumptions'!$B$12^21)),$C9))</x:f>
        <x:v>44.69432698603658</x:v>
      </x:c>
      <x:c r="AG9" s="68" t="n">
        <x:f>AF9*(1+IF($C9&gt;='Assumptions'!$B$13,MAX('Assumptions'!$B$13,$C9*('Assumptions'!$B$12^22)),$C9))</x:f>
        <x:v>50.05764622436097</x:v>
      </x:c>
      <x:c r="AH9" s="68" t="n">
        <x:f>AG9*(1+IF($C9&gt;='Assumptions'!$B$13,MAX('Assumptions'!$B$13,$C9*('Assumptions'!$B$12^23)),$C9))</x:f>
        <x:v>56.06456377128429</x:v>
      </x:c>
      <x:c r="AI9" s="68" t="n">
        <x:f>AH9*(1+IF($C9&gt;='Assumptions'!$B$13,MAX('Assumptions'!$B$13,$C9*('Assumptions'!$B$12^24)),$C9))</x:f>
        <x:v>62.79231142383841</x:v>
      </x:c>
    </x:row>
    <x:row r="10">
      <x:c r="A10" s="65" t="str">
        <x:f>'Company Inputs'!A10</x:f>
        <x:v>5253</x:v>
      </x:c>
      <x:c r="B10" s="65" t="str">
        <x:f>'Company Inputs'!B10</x:f>
        <x:v>COVER</x:v>
      </x:c>
      <x:c r="C10" s="6" t="n">
        <x:f>'Company Inputs'!F10</x:f>
        <x:v>0.14508</x:v>
      </x:c>
      <x:c r="D10" s="66" t="n">
        <x:f>IF('Company Inputs'!C10&gt;0,LN('Assumptions'!$B$4)/LN(1+'Company Inputs'!C10),"")</x:f>
        <x:v>1.3686224581717223</x:v>
      </x:c>
      <x:c r="E10" s="66" t="str">
        <x:f>IF('Company Inputs'!E10&gt;0,LN('Assumptions'!$B$4)/LN(1+'Company Inputs'!E10),"")</x:f>
      </x:c>
      <x:c r="F10" s="67" t="n">
        <x:f>IF(C10&gt;0,COUNTIF(J10:AI10,"&lt;"&amp;('Assumptions'!$B$4/'Assumptions'!$B$5)),"")</x:f>
        <x:v>4</x:v>
      </x:c>
      <x:c r="G10" s="67" t="n">
        <x:f>IF(C10&gt;0,COUNTIF(J10:AI10,"&lt;"&amp;('Assumptions'!$B$4/'Assumptions'!$B$6)),"")</x:f>
        <x:v>6</x:v>
      </x:c>
      <x:c r="H10" s="67" t="n">
        <x:f>IF(C10&gt;0,COUNTIF(J10:AI10,"&lt;"&amp;('Assumptions'!$B$4/'Assumptions'!$B$7)),"")</x:f>
        <x:v>9</x:v>
      </x:c>
      <x:c r="I10" s="67" t="n">
        <x:f>IF(C10&gt;0,COUNTIF(J10:AI10,"&lt;"&amp;('Assumptions'!$B$4*'Assumptions'!$B$8)),"")</x:f>
        <x:v>7</x:v>
      </x:c>
      <x:c r="J10" s="68" t="n">
        <x:v>1</x:v>
      </x:c>
      <x:c r="K10" s="68" t="n">
        <x:f>J10*(1+IF($C10&gt;='Assumptions'!$B$13,MAX('Assumptions'!$B$13,$C10*('Assumptions'!$B$12^0)),$C10))</x:f>
        <x:v>1.14508</x:v>
      </x:c>
      <x:c r="L10" s="68" t="n">
        <x:f>K10*(1+IF($C10&gt;='Assumptions'!$B$13,MAX('Assumptions'!$B$13,$C10*('Assumptions'!$B$12^1)),$C10))</x:f>
        <x:v>1.291272821632</x:v>
      </x:c>
      <x:c r="M10" s="68" t="n">
        <x:f>L10*(1+IF($C10&gt;='Assumptions'!$B$13,MAX('Assumptions'!$B$13,$C10*('Assumptions'!$B$12^2)),$C10))</x:f>
        <x:v>1.44622556022784</x:v>
      </x:c>
      <x:c r="N10" s="68" t="n">
        <x:f>M10*(1+IF($C10&gt;='Assumptions'!$B$13,MAX('Assumptions'!$B$13,$C10*('Assumptions'!$B$12^3)),$C10))</x:f>
        <x:v>1.619772627455181</x:v>
      </x:c>
      <x:c r="O10" s="68" t="n">
        <x:f>N10*(1+IF($C10&gt;='Assumptions'!$B$13,MAX('Assumptions'!$B$13,$C10*('Assumptions'!$B$12^4)),$C10))</x:f>
        <x:v>1.8141453427498029</x:v>
      </x:c>
      <x:c r="P10" s="68" t="n">
        <x:f>O10*(1+IF($C10&gt;='Assumptions'!$B$13,MAX('Assumptions'!$B$13,$C10*('Assumptions'!$B$12^5)),$C10))</x:f>
        <x:v>2.0318427838797795</x:v>
      </x:c>
      <x:c r="Q10" s="68" t="n">
        <x:f>P10*(1+IF($C10&gt;='Assumptions'!$B$13,MAX('Assumptions'!$B$13,$C10*('Assumptions'!$B$12^6)),$C10))</x:f>
        <x:v>2.2756639179453533</x:v>
      </x:c>
      <x:c r="R10" s="68" t="n">
        <x:f>Q10*(1+IF($C10&gt;='Assumptions'!$B$13,MAX('Assumptions'!$B$13,$C10*('Assumptions'!$B$12^7)),$C10))</x:f>
        <x:v>2.548743588098796</x:v>
      </x:c>
      <x:c r="S10" s="68" t="n">
        <x:f>R10*(1+IF($C10&gt;='Assumptions'!$B$13,MAX('Assumptions'!$B$13,$C10*('Assumptions'!$B$12^8)),$C10))</x:f>
        <x:v>2.8545928186706515</x:v>
      </x:c>
      <x:c r="T10" s="68" t="n">
        <x:f>S10*(1+IF($C10&gt;='Assumptions'!$B$13,MAX('Assumptions'!$B$13,$C10*('Assumptions'!$B$12^9)),$C10))</x:f>
        <x:v>3.19714395691113</x:v>
      </x:c>
      <x:c r="U10" s="68" t="n">
        <x:f>T10*(1+IF($C10&gt;='Assumptions'!$B$13,MAX('Assumptions'!$B$13,$C10*('Assumptions'!$B$12^10)),$C10))</x:f>
        <x:v>3.580801231740466</x:v>
      </x:c>
      <x:c r="V10" s="68" t="n">
        <x:f>U10*(1+IF($C10&gt;='Assumptions'!$B$13,MAX('Assumptions'!$B$13,$C10*('Assumptions'!$B$12^11)),$C10))</x:f>
        <x:v>4.010497379549323</x:v>
      </x:c>
      <x:c r="W10" s="68" t="n">
        <x:f>V10*(1+IF($C10&gt;='Assumptions'!$B$13,MAX('Assumptions'!$B$13,$C10*('Assumptions'!$B$12^12)),$C10))</x:f>
        <x:v>4.491757065095242</x:v>
      </x:c>
      <x:c r="X10" s="68" t="n">
        <x:f>W10*(1+IF($C10&gt;='Assumptions'!$B$13,MAX('Assumptions'!$B$13,$C10*('Assumptions'!$B$12^13)),$C10))</x:f>
        <x:v>5.030767912906671</x:v>
      </x:c>
      <x:c r="Y10" s="68" t="n">
        <x:f>X10*(1+IF($C10&gt;='Assumptions'!$B$13,MAX('Assumptions'!$B$13,$C10*('Assumptions'!$B$12^14)),$C10))</x:f>
        <x:v>5.634460062455473</x:v>
      </x:c>
      <x:c r="Z10" s="68" t="n">
        <x:f>Y10*(1+IF($C10&gt;='Assumptions'!$B$13,MAX('Assumptions'!$B$13,$C10*('Assumptions'!$B$12^15)),$C10))</x:f>
        <x:v>6.31059526995013</x:v>
      </x:c>
      <x:c r="AA10" s="68" t="n">
        <x:f>Z10*(1+IF($C10&gt;='Assumptions'!$B$13,MAX('Assumptions'!$B$13,$C10*('Assumptions'!$B$12^16)),$C10))</x:f>
        <x:v>7.067866702344146</x:v>
      </x:c>
      <x:c r="AB10" s="68" t="n">
        <x:f>AA10*(1+IF($C10&gt;='Assumptions'!$B$13,MAX('Assumptions'!$B$13,$C10*('Assumptions'!$B$12^17)),$C10))</x:f>
        <x:v>7.916010706625444</x:v>
      </x:c>
      <x:c r="AC10" s="68" t="n">
        <x:f>AB10*(1+IF($C10&gt;='Assumptions'!$B$13,MAX('Assumptions'!$B$13,$C10*('Assumptions'!$B$12^18)),$C10))</x:f>
        <x:v>8.8659319914205</x:v>
      </x:c>
      <x:c r="AD10" s="68" t="n">
        <x:f>AC10*(1+IF($C10&gt;='Assumptions'!$B$13,MAX('Assumptions'!$B$13,$C10*('Assumptions'!$B$12^19)),$C10))</x:f>
        <x:v>9.92984383039096</x:v>
      </x:c>
      <x:c r="AE10" s="68" t="n">
        <x:f>AD10*(1+IF($C10&gt;='Assumptions'!$B$13,MAX('Assumptions'!$B$13,$C10*('Assumptions'!$B$12^20)),$C10))</x:f>
        <x:v>11.121425090037876</x:v>
      </x:c>
      <x:c r="AF10" s="68" t="n">
        <x:f>AE10*(1+IF($C10&gt;='Assumptions'!$B$13,MAX('Assumptions'!$B$13,$C10*('Assumptions'!$B$12^21)),$C10))</x:f>
        <x:v>12.455996100842423</x:v>
      </x:c>
      <x:c r="AG10" s="68" t="n">
        <x:f>AF10*(1+IF($C10&gt;='Assumptions'!$B$13,MAX('Assumptions'!$B$13,$C10*('Assumptions'!$B$12^22)),$C10))</x:f>
        <x:v>13.950715632943515</x:v>
      </x:c>
      <x:c r="AH10" s="68" t="n">
        <x:f>AG10*(1+IF($C10&gt;='Assumptions'!$B$13,MAX('Assumptions'!$B$13,$C10*('Assumptions'!$B$12^23)),$C10))</x:f>
        <x:v>15.624801508896738</x:v>
      </x:c>
      <x:c r="AI10" s="68" t="n">
        <x:f>AH10*(1+IF($C10&gt;='Assumptions'!$B$13,MAX('Assumptions'!$B$13,$C10*('Assumptions'!$B$12^24)),$C10))</x:f>
        <x:v>17.499777689964347</x:v>
      </x:c>
    </x:row>
    <x:row r="11">
      <x:c r="A11" s="65" t="str">
        <x:f>'Company Inputs'!A11</x:f>
        <x:v>5254</x:v>
      </x:c>
      <x:c r="B11" s="65" t="str">
        <x:f>'Company Inputs'!B11</x:f>
        <x:v>Arent</x:v>
      </x:c>
      <x:c r="C11" s="6" t="n">
        <x:f>'Company Inputs'!F11</x:f>
        <x:v>0.5</x:v>
      </x:c>
      <x:c r="D11" s="66" t="n">
        <x:f>IF('Company Inputs'!C11&gt;0,LN('Assumptions'!$B$4)/LN(1+'Company Inputs'!C11),"")</x:f>
        <x:v>1.612842620315159</x:v>
      </x:c>
      <x:c r="E11" s="66" t="n">
        <x:f>IF('Company Inputs'!E11&gt;0,LN('Assumptions'!$B$4)/LN(1+'Company Inputs'!E11),"")</x:f>
        <x:v>1.1277196336645952</x:v>
      </x:c>
      <x:c r="F11" s="67" t="n">
        <x:f>IF(C11&gt;0,COUNTIF(J11:AI11,"&lt;"&amp;('Assumptions'!$B$4/'Assumptions'!$B$5)),"")</x:f>
        <x:v>2</x:v>
      </x:c>
      <x:c r="G11" s="67" t="n">
        <x:f>IF(C11&gt;0,COUNTIF(J11:AI11,"&lt;"&amp;('Assumptions'!$B$4/'Assumptions'!$B$6)),"")</x:f>
        <x:v>2</x:v>
      </x:c>
      <x:c r="H11" s="67" t="n">
        <x:f>IF(C11&gt;0,COUNTIF(J11:AI11,"&lt;"&amp;('Assumptions'!$B$4/'Assumptions'!$B$7)),"")</x:f>
        <x:v>3</x:v>
      </x:c>
      <x:c r="I11" s="67" t="n">
        <x:f>IF(C11&gt;0,COUNTIF(J11:AI11,"&lt;"&amp;('Assumptions'!$B$4*'Assumptions'!$B$8)),"")</x:f>
        <x:v>3</x:v>
      </x:c>
      <x:c r="J11" s="68" t="n">
        <x:v>1</x:v>
      </x:c>
      <x:c r="K11" s="68" t="n">
        <x:f>J11*(1+IF($C11&gt;='Assumptions'!$B$13,MAX('Assumptions'!$B$13,$C11*('Assumptions'!$B$12^0)),$C11))</x:f>
        <x:v>1.5</x:v>
      </x:c>
      <x:c r="L11" s="68" t="n">
        <x:f>K11*(1+IF($C11&gt;='Assumptions'!$B$13,MAX('Assumptions'!$B$13,$C11*('Assumptions'!$B$12^1)),$C11))</x:f>
        <x:v>2.16</x:v>
      </x:c>
      <x:c r="M11" s="68" t="n">
        <x:f>L11*(1+IF($C11&gt;='Assumptions'!$B$13,MAX('Assumptions'!$B$13,$C11*('Assumptions'!$B$12^2)),$C11))</x:f>
        <x:v>2.9963520000000003</x:v>
      </x:c>
      <x:c r="N11" s="68" t="n">
        <x:f>M11*(1+IF($C11&gt;='Assumptions'!$B$13,MAX('Assumptions'!$B$13,$C11*('Assumptions'!$B$12^3)),$C11))</x:f>
        <x:v>4.017316995072</x:v>
      </x:c>
      <x:c r="O11" s="68" t="n">
        <x:f>N11*(1+IF($C11&gt;='Assumptions'!$B$13,MAX('Assumptions'!$B$13,$C11*('Assumptions'!$B$12^4)),$C11))</x:f>
        <x:v>5.221900175868911</x:v>
      </x:c>
      <x:c r="P11" s="68" t="n">
        <x:f>O11*(1+IF($C11&gt;='Assumptions'!$B$13,MAX('Assumptions'!$B$13,$C11*('Assumptions'!$B$12^5)),$C11))</x:f>
        <x:v>6.599781870443691</x:v>
      </x:c>
      <x:c r="Q11" s="68" t="n">
        <x:f>P11*(1+IF($C11&gt;='Assumptions'!$B$13,MAX('Assumptions'!$B$13,$C11*('Assumptions'!$B$12^6)),$C11))</x:f>
        <x:v>8.132264706702191</x:v>
      </x:c>
      <x:c r="R11" s="68" t="n">
        <x:f>Q11*(1+IF($C11&gt;='Assumptions'!$B$13,MAX('Assumptions'!$B$13,$C11*('Assumptions'!$B$12^7)),$C11))</x:f>
        <x:v>9.793993771126978</x:v>
      </x:c>
      <x:c r="S11" s="68" t="n">
        <x:f>R11*(1+IF($C11&gt;='Assumptions'!$B$13,MAX('Assumptions'!$B$13,$C11*('Assumptions'!$B$12^8)),$C11))</x:f>
        <x:v>11.55512291904076</x:v>
      </x:c>
      <x:c r="T11" s="68" t="n">
        <x:f>S11*(1+IF($C11&gt;='Assumptions'!$B$13,MAX('Assumptions'!$B$13,$C11*('Assumptions'!$B$12^9)),$C11))</x:f>
        <x:v>13.383596220666591</x:v>
      </x:c>
      <x:c r="U11" s="68" t="n">
        <x:f>T11*(1+IF($C11&gt;='Assumptions'!$B$13,MAX('Assumptions'!$B$13,$C11*('Assumptions'!$B$12^10)),$C11))</x:f>
        <x:v>15.24726852565229</x:v>
      </x:c>
      <x:c r="V11" s="68" t="n">
        <x:f>U11*(1+IF($C11&gt;='Assumptions'!$B$13,MAX('Assumptions'!$B$13,$C11*('Assumptions'!$B$12^11)),$C11))</x:f>
        <x:v>17.115675358635794</x:v>
      </x:c>
      <x:c r="W11" s="68" t="n">
        <x:f>V11*(1+IF($C11&gt;='Assumptions'!$B$13,MAX('Assumptions'!$B$13,$C11*('Assumptions'!$B$12^12)),$C11))</x:f>
        <x:v>19.169556401672093</x:v>
      </x:c>
      <x:c r="X11" s="68" t="n">
        <x:f>W11*(1+IF($C11&gt;='Assumptions'!$B$13,MAX('Assumptions'!$B$13,$C11*('Assumptions'!$B$12^13)),$C11))</x:f>
        <x:v>21.469903169872747</x:v>
      </x:c>
      <x:c r="Y11" s="68" t="n">
        <x:f>X11*(1+IF($C11&gt;='Assumptions'!$B$13,MAX('Assumptions'!$B$13,$C11*('Assumptions'!$B$12^14)),$C11))</x:f>
        <x:v>24.04629155025748</x:v>
      </x:c>
      <x:c r="Z11" s="68" t="n">
        <x:f>Y11*(1+IF($C11&gt;='Assumptions'!$B$13,MAX('Assumptions'!$B$13,$C11*('Assumptions'!$B$12^15)),$C11))</x:f>
        <x:v>26.93184653628838</x:v>
      </x:c>
      <x:c r="AA11" s="68" t="n">
        <x:f>Z11*(1+IF($C11&gt;='Assumptions'!$B$13,MAX('Assumptions'!$B$13,$C11*('Assumptions'!$B$12^16)),$C11))</x:f>
        <x:v>30.16366812064299</x:v>
      </x:c>
      <x:c r="AB11" s="68" t="n">
        <x:f>AA11*(1+IF($C11&gt;='Assumptions'!$B$13,MAX('Assumptions'!$B$13,$C11*('Assumptions'!$B$12^17)),$C11))</x:f>
        <x:v>33.78330829512015</x:v>
      </x:c>
      <x:c r="AC11" s="68" t="n">
        <x:f>AB11*(1+IF($C11&gt;='Assumptions'!$B$13,MAX('Assumptions'!$B$13,$C11*('Assumptions'!$B$12^18)),$C11))</x:f>
        <x:v>37.83730529053457</x:v>
      </x:c>
      <x:c r="AD11" s="68" t="n">
        <x:f>AC11*(1+IF($C11&gt;='Assumptions'!$B$13,MAX('Assumptions'!$B$13,$C11*('Assumptions'!$B$12^19)),$C11))</x:f>
        <x:v>42.37778192539873</x:v>
      </x:c>
      <x:c r="AE11" s="68" t="n">
        <x:f>AD11*(1+IF($C11&gt;='Assumptions'!$B$13,MAX('Assumptions'!$B$13,$C11*('Assumptions'!$B$12^20)),$C11))</x:f>
        <x:v>47.463115756446584</x:v>
      </x:c>
      <x:c r="AF11" s="68" t="n">
        <x:f>AE11*(1+IF($C11&gt;='Assumptions'!$B$13,MAX('Assumptions'!$B$13,$C11*('Assumptions'!$B$12^21)),$C11))</x:f>
        <x:v>53.15868964722018</x:v>
      </x:c>
      <x:c r="AG11" s="68" t="n">
        <x:f>AF11*(1+IF($C11&gt;='Assumptions'!$B$13,MAX('Assumptions'!$B$13,$C11*('Assumptions'!$B$12^22)),$C11))</x:f>
        <x:v>59.537732404886604</x:v>
      </x:c>
      <x:c r="AH11" s="68" t="n">
        <x:f>AG11*(1+IF($C11&gt;='Assumptions'!$B$13,MAX('Assumptions'!$B$13,$C11*('Assumptions'!$B$12^23)),$C11))</x:f>
        <x:v>66.682260293473</x:v>
      </x:c>
      <x:c r="AI11" s="68" t="n">
        <x:f>AH11*(1+IF($C11&gt;='Assumptions'!$B$13,MAX('Assumptions'!$B$13,$C11*('Assumptions'!$B$12^24)),$C11))</x:f>
        <x:v>74.68413152868978</x:v>
      </x:c>
    </x:row>
    <x:row r="12">
      <x:c r="A12" s="65" t="str">
        <x:f>'Company Inputs'!A12</x:f>
        <x:v>5537</x:v>
      </x:c>
      <x:c r="B12" s="65" t="str">
        <x:f>'Company Inputs'!B12</x:f>
        <x:v>AlbaLink</x:v>
      </x:c>
      <x:c r="C12" s="6" t="n">
        <x:f>'Company Inputs'!F12</x:f>
        <x:v>0.5</x:v>
      </x:c>
      <x:c r="D12" s="66" t="n">
        <x:f>IF('Company Inputs'!C12&gt;0,LN('Assumptions'!$B$4)/LN(1+'Company Inputs'!C12),"")</x:f>
        <x:v>1.2466467559222931</x:v>
      </x:c>
      <x:c r="E12" s="66" t="n">
        <x:f>IF('Company Inputs'!E12&gt;0,LN('Assumptions'!$B$4)/LN(1+'Company Inputs'!E12),"")</x:f>
        <x:v>1.9379276089213289</x:v>
      </x:c>
      <x:c r="F12" s="67" t="n">
        <x:f>IF(C12&gt;0,COUNTIF(J12:AI12,"&lt;"&amp;('Assumptions'!$B$4/'Assumptions'!$B$5)),"")</x:f>
        <x:v>2</x:v>
      </x:c>
      <x:c r="G12" s="67" t="n">
        <x:f>IF(C12&gt;0,COUNTIF(J12:AI12,"&lt;"&amp;('Assumptions'!$B$4/'Assumptions'!$B$6)),"")</x:f>
        <x:v>2</x:v>
      </x:c>
      <x:c r="H12" s="67" t="n">
        <x:f>IF(C12&gt;0,COUNTIF(J12:AI12,"&lt;"&amp;('Assumptions'!$B$4/'Assumptions'!$B$7)),"")</x:f>
        <x:v>3</x:v>
      </x:c>
      <x:c r="I12" s="67" t="n">
        <x:f>IF(C12&gt;0,COUNTIF(J12:AI12,"&lt;"&amp;('Assumptions'!$B$4*'Assumptions'!$B$8)),"")</x:f>
        <x:v>3</x:v>
      </x:c>
      <x:c r="J12" s="68" t="n">
        <x:v>1</x:v>
      </x:c>
      <x:c r="K12" s="68" t="n">
        <x:f>J12*(1+IF($C12&gt;='Assumptions'!$B$13,MAX('Assumptions'!$B$13,$C12*('Assumptions'!$B$12^0)),$C12))</x:f>
        <x:v>1.5</x:v>
      </x:c>
      <x:c r="L12" s="68" t="n">
        <x:f>K12*(1+IF($C12&gt;='Assumptions'!$B$13,MAX('Assumptions'!$B$13,$C12*('Assumptions'!$B$12^1)),$C12))</x:f>
        <x:v>2.16</x:v>
      </x:c>
      <x:c r="M12" s="68" t="n">
        <x:f>L12*(1+IF($C12&gt;='Assumptions'!$B$13,MAX('Assumptions'!$B$13,$C12*('Assumptions'!$B$12^2)),$C12))</x:f>
        <x:v>2.9963520000000003</x:v>
      </x:c>
      <x:c r="N12" s="68" t="n">
        <x:f>M12*(1+IF($C12&gt;='Assumptions'!$B$13,MAX('Assumptions'!$B$13,$C12*('Assumptions'!$B$12^3)),$C12))</x:f>
        <x:v>4.017316995072</x:v>
      </x:c>
      <x:c r="O12" s="68" t="n">
        <x:f>N12*(1+IF($C12&gt;='Assumptions'!$B$13,MAX('Assumptions'!$B$13,$C12*('Assumptions'!$B$12^4)),$C12))</x:f>
        <x:v>5.221900175868911</x:v>
      </x:c>
      <x:c r="P12" s="68" t="n">
        <x:f>O12*(1+IF($C12&gt;='Assumptions'!$B$13,MAX('Assumptions'!$B$13,$C12*('Assumptions'!$B$12^5)),$C12))</x:f>
        <x:v>6.599781870443691</x:v>
      </x:c>
      <x:c r="Q12" s="68" t="n">
        <x:f>P12*(1+IF($C12&gt;='Assumptions'!$B$13,MAX('Assumptions'!$B$13,$C12*('Assumptions'!$B$12^6)),$C12))</x:f>
        <x:v>8.132264706702191</x:v>
      </x:c>
      <x:c r="R12" s="68" t="n">
        <x:f>Q12*(1+IF($C12&gt;='Assumptions'!$B$13,MAX('Assumptions'!$B$13,$C12*('Assumptions'!$B$12^7)),$C12))</x:f>
        <x:v>9.793993771126978</x:v>
      </x:c>
      <x:c r="S12" s="68" t="n">
        <x:f>R12*(1+IF($C12&gt;='Assumptions'!$B$13,MAX('Assumptions'!$B$13,$C12*('Assumptions'!$B$12^8)),$C12))</x:f>
        <x:v>11.55512291904076</x:v>
      </x:c>
      <x:c r="T12" s="68" t="n">
        <x:f>S12*(1+IF($C12&gt;='Assumptions'!$B$13,MAX('Assumptions'!$B$13,$C12*('Assumptions'!$B$12^9)),$C12))</x:f>
        <x:v>13.383596220666591</x:v>
      </x:c>
      <x:c r="U12" s="68" t="n">
        <x:f>T12*(1+IF($C12&gt;='Assumptions'!$B$13,MAX('Assumptions'!$B$13,$C12*('Assumptions'!$B$12^10)),$C12))</x:f>
        <x:v>15.24726852565229</x:v>
      </x:c>
      <x:c r="V12" s="68" t="n">
        <x:f>U12*(1+IF($C12&gt;='Assumptions'!$B$13,MAX('Assumptions'!$B$13,$C12*('Assumptions'!$B$12^11)),$C12))</x:f>
        <x:v>17.115675358635794</x:v>
      </x:c>
      <x:c r="W12" s="68" t="n">
        <x:f>V12*(1+IF($C12&gt;='Assumptions'!$B$13,MAX('Assumptions'!$B$13,$C12*('Assumptions'!$B$12^12)),$C12))</x:f>
        <x:v>19.169556401672093</x:v>
      </x:c>
      <x:c r="X12" s="68" t="n">
        <x:f>W12*(1+IF($C12&gt;='Assumptions'!$B$13,MAX('Assumptions'!$B$13,$C12*('Assumptions'!$B$12^13)),$C12))</x:f>
        <x:v>21.469903169872747</x:v>
      </x:c>
      <x:c r="Y12" s="68" t="n">
        <x:f>X12*(1+IF($C12&gt;='Assumptions'!$B$13,MAX('Assumptions'!$B$13,$C12*('Assumptions'!$B$12^14)),$C12))</x:f>
        <x:v>24.04629155025748</x:v>
      </x:c>
      <x:c r="Z12" s="68" t="n">
        <x:f>Y12*(1+IF($C12&gt;='Assumptions'!$B$13,MAX('Assumptions'!$B$13,$C12*('Assumptions'!$B$12^15)),$C12))</x:f>
        <x:v>26.93184653628838</x:v>
      </x:c>
      <x:c r="AA12" s="68" t="n">
        <x:f>Z12*(1+IF($C12&gt;='Assumptions'!$B$13,MAX('Assumptions'!$B$13,$C12*('Assumptions'!$B$12^16)),$C12))</x:f>
        <x:v>30.16366812064299</x:v>
      </x:c>
      <x:c r="AB12" s="68" t="n">
        <x:f>AA12*(1+IF($C12&gt;='Assumptions'!$B$13,MAX('Assumptions'!$B$13,$C12*('Assumptions'!$B$12^17)),$C12))</x:f>
        <x:v>33.78330829512015</x:v>
      </x:c>
      <x:c r="AC12" s="68" t="n">
        <x:f>AB12*(1+IF($C12&gt;='Assumptions'!$B$13,MAX('Assumptions'!$B$13,$C12*('Assumptions'!$B$12^18)),$C12))</x:f>
        <x:v>37.83730529053457</x:v>
      </x:c>
      <x:c r="AD12" s="68" t="n">
        <x:f>AC12*(1+IF($C12&gt;='Assumptions'!$B$13,MAX('Assumptions'!$B$13,$C12*('Assumptions'!$B$12^19)),$C12))</x:f>
        <x:v>42.37778192539873</x:v>
      </x:c>
      <x:c r="AE12" s="68" t="n">
        <x:f>AD12*(1+IF($C12&gt;='Assumptions'!$B$13,MAX('Assumptions'!$B$13,$C12*('Assumptions'!$B$12^20)),$C12))</x:f>
        <x:v>47.463115756446584</x:v>
      </x:c>
      <x:c r="AF12" s="68" t="n">
        <x:f>AE12*(1+IF($C12&gt;='Assumptions'!$B$13,MAX('Assumptions'!$B$13,$C12*('Assumptions'!$B$12^21)),$C12))</x:f>
        <x:v>53.15868964722018</x:v>
      </x:c>
      <x:c r="AG12" s="68" t="n">
        <x:f>AF12*(1+IF($C12&gt;='Assumptions'!$B$13,MAX('Assumptions'!$B$13,$C12*('Assumptions'!$B$12^22)),$C12))</x:f>
        <x:v>59.537732404886604</x:v>
      </x:c>
      <x:c r="AH12" s="68" t="n">
        <x:f>AG12*(1+IF($C12&gt;='Assumptions'!$B$13,MAX('Assumptions'!$B$13,$C12*('Assumptions'!$B$12^23)),$C12))</x:f>
        <x:v>66.682260293473</x:v>
      </x:c>
      <x:c r="AI12" s="68" t="n">
        <x:f>AH12*(1+IF($C12&gt;='Assumptions'!$B$13,MAX('Assumptions'!$B$13,$C12*('Assumptions'!$B$12^24)),$C12))</x:f>
        <x:v>74.68413152868978</x:v>
      </x:c>
    </x:row>
    <x:row r="13">
      <x:c r="A13" s="65" t="str">
        <x:f>'Company Inputs'!A13</x:f>
        <x:v>5575</x:v>
      </x:c>
      <x:c r="B13" s="65" t="str">
        <x:f>'Company Inputs'!B13</x:f>
        <x:v>Globee</x:v>
      </x:c>
      <x:c r="C13" s="6" t="n">
        <x:f>'Company Inputs'!F13</x:f>
        <x:v>0.3225</x:v>
      </x:c>
      <x:c r="D13" s="66" t="n">
        <x:f>IF('Company Inputs'!C13&gt;0,LN('Assumptions'!$B$4)/LN(1+'Company Inputs'!C13),"")</x:f>
        <x:v>2.0070210915270583</x:v>
      </x:c>
      <x:c r="E13" s="66" t="n">
        <x:f>IF('Company Inputs'!E13&gt;0,LN('Assumptions'!$B$4)/LN(1+'Company Inputs'!E13),"")</x:f>
        <x:v>2.0513394915290926</x:v>
      </x:c>
      <x:c r="F13" s="67" t="n">
        <x:f>IF(C13&gt;0,COUNTIF(J13:AI13,"&lt;"&amp;('Assumptions'!$B$4/'Assumptions'!$B$5)),"")</x:f>
        <x:v>2</x:v>
      </x:c>
      <x:c r="G13" s="67" t="n">
        <x:f>IF(C13&gt;0,COUNTIF(J13:AI13,"&lt;"&amp;('Assumptions'!$B$4/'Assumptions'!$B$6)),"")</x:f>
        <x:v>3</x:v>
      </x:c>
      <x:c r="H13" s="67" t="n">
        <x:f>IF(C13&gt;0,COUNTIF(J13:AI13,"&lt;"&amp;('Assumptions'!$B$4/'Assumptions'!$B$7)),"")</x:f>
        <x:v>5</x:v>
      </x:c>
      <x:c r="I13" s="67" t="n">
        <x:f>IF(C13&gt;0,COUNTIF(J13:AI13,"&lt;"&amp;('Assumptions'!$B$4*'Assumptions'!$B$8)),"")</x:f>
        <x:v>4</x:v>
      </x:c>
      <x:c r="J13" s="68" t="n">
        <x:v>1</x:v>
      </x:c>
      <x:c r="K13" s="68" t="n">
        <x:f>J13*(1+IF($C13&gt;='Assumptions'!$B$13,MAX('Assumptions'!$B$13,$C13*('Assumptions'!$B$12^0)),$C13))</x:f>
        <x:v>1.3225</x:v>
      </x:c>
      <x:c r="L13" s="68" t="n">
        <x:f>K13*(1+IF($C13&gt;='Assumptions'!$B$13,MAX('Assumptions'!$B$13,$C13*('Assumptions'!$B$12^1)),$C13))</x:f>
        <x:v>1.6978255</x:v>
      </x:c>
      <x:c r="M13" s="68" t="n">
        <x:f>L13*(1+IF($C13&gt;='Assumptions'!$B$13,MAX('Assumptions'!$B$13,$C13*('Assumptions'!$B$12^2)),$C13))</x:f>
        <x:v>2.121847231672</x:v>
      </x:c>
      <x:c r="N13" s="68" t="n">
        <x:f>M13*(1+IF($C13&gt;='Assumptions'!$B$13,MAX('Assumptions'!$B$13,$C13*('Assumptions'!$B$12^3)),$C13))</x:f>
        <x:v>2.588175612895489</x:v>
      </x:c>
      <x:c r="O13" s="68" t="n">
        <x:f>N13*(1+IF($C13&gt;='Assumptions'!$B$13,MAX('Assumptions'!$B$13,$C13*('Assumptions'!$B$12^4)),$C13))</x:f>
        <x:v>3.088733315054231</x:v>
      </x:c>
      <x:c r="P13" s="68" t="n">
        <x:f>O13*(1+IF($C13&gt;='Assumptions'!$B$13,MAX('Assumptions'!$B$13,$C13*('Assumptions'!$B$12^5)),$C13))</x:f>
        <x:v>3.614415781844353</x:v>
      </x:c>
      <x:c r="Q13" s="68" t="n">
        <x:f>P13*(1+IF($C13&gt;='Assumptions'!$B$13,MAX('Assumptions'!$B$13,$C13*('Assumptions'!$B$12^6)),$C13))</x:f>
        <x:v>4.155747982831449</x:v>
      </x:c>
      <x:c r="R13" s="68" t="n">
        <x:f>Q13*(1+IF($C13&gt;='Assumptions'!$B$13,MAX('Assumptions'!$B$13,$C13*('Assumptions'!$B$12^7)),$C13))</x:f>
        <x:v>4.703466756073521</x:v>
      </x:c>
      <x:c r="S13" s="68" t="n">
        <x:f>R13*(1+IF($C13&gt;='Assumptions'!$B$13,MAX('Assumptions'!$B$13,$C13*('Assumptions'!$B$12^8)),$C13))</x:f>
        <x:v>5.267882766802344</x:v>
      </x:c>
      <x:c r="T13" s="68" t="n">
        <x:f>S13*(1+IF($C13&gt;='Assumptions'!$B$13,MAX('Assumptions'!$B$13,$C13*('Assumptions'!$B$12^9)),$C13))</x:f>
        <x:v>5.900028698818625</x:v>
      </x:c>
      <x:c r="U13" s="68" t="n">
        <x:f>T13*(1+IF($C13&gt;='Assumptions'!$B$13,MAX('Assumptions'!$B$13,$C13*('Assumptions'!$B$12^10)),$C13))</x:f>
        <x:v>6.60803214267686</x:v>
      </x:c>
      <x:c r="V13" s="68" t="n">
        <x:f>U13*(1+IF($C13&gt;='Assumptions'!$B$13,MAX('Assumptions'!$B$13,$C13*('Assumptions'!$B$12^11)),$C13))</x:f>
        <x:v>7.400995999798084</x:v>
      </x:c>
      <x:c r="W13" s="68" t="n">
        <x:f>V13*(1+IF($C13&gt;='Assumptions'!$B$13,MAX('Assumptions'!$B$13,$C13*('Assumptions'!$B$12^12)),$C13))</x:f>
        <x:v>8.289115519773855</x:v>
      </x:c>
      <x:c r="X13" s="68" t="n">
        <x:f>W13*(1+IF($C13&gt;='Assumptions'!$B$13,MAX('Assumptions'!$B$13,$C13*('Assumptions'!$B$12^13)),$C13))</x:f>
        <x:v>9.283809382146718</x:v>
      </x:c>
      <x:c r="Y13" s="68" t="n">
        <x:f>X13*(1+IF($C13&gt;='Assumptions'!$B$13,MAX('Assumptions'!$B$13,$C13*('Assumptions'!$B$12^14)),$C13))</x:f>
        <x:v>10.397866508004325</x:v>
      </x:c>
      <x:c r="Z13" s="68" t="n">
        <x:f>Y13*(1+IF($C13&gt;='Assumptions'!$B$13,MAX('Assumptions'!$B$13,$C13*('Assumptions'!$B$12^15)),$C13))</x:f>
        <x:v>11.645610488964845</x:v>
      </x:c>
      <x:c r="AA13" s="68" t="n">
        <x:f>Z13*(1+IF($C13&gt;='Assumptions'!$B$13,MAX('Assumptions'!$B$13,$C13*('Assumptions'!$B$12^16)),$C13))</x:f>
        <x:v>13.043083747640628</x:v>
      </x:c>
      <x:c r="AB13" s="68" t="n">
        <x:f>AA13*(1+IF($C13&gt;='Assumptions'!$B$13,MAX('Assumptions'!$B$13,$C13*('Assumptions'!$B$12^17)),$C13))</x:f>
        <x:v>14.608253797357504</x:v>
      </x:c>
      <x:c r="AC13" s="68" t="n">
        <x:f>AB13*(1+IF($C13&gt;='Assumptions'!$B$13,MAX('Assumptions'!$B$13,$C13*('Assumptions'!$B$12^18)),$C13))</x:f>
        <x:v>16.361244253040407</x:v>
      </x:c>
      <x:c r="AD13" s="68" t="n">
        <x:f>AC13*(1+IF($C13&gt;='Assumptions'!$B$13,MAX('Assumptions'!$B$13,$C13*('Assumptions'!$B$12^19)),$C13))</x:f>
        <x:v>18.32459356340526</x:v>
      </x:c>
      <x:c r="AE13" s="68" t="n">
        <x:f>AD13*(1+IF($C13&gt;='Assumptions'!$B$13,MAX('Assumptions'!$B$13,$C13*('Assumptions'!$B$12^20)),$C13))</x:f>
        <x:v>20.52354479101389</x:v>
      </x:c>
      <x:c r="AF13" s="68" t="n">
        <x:f>AE13*(1+IF($C13&gt;='Assumptions'!$B$13,MAX('Assumptions'!$B$13,$C13*('Assumptions'!$B$12^21)),$C13))</x:f>
        <x:v>22.986370165935558</x:v>
      </x:c>
      <x:c r="AG13" s="68" t="n">
        <x:f>AF13*(1+IF($C13&gt;='Assumptions'!$B$13,MAX('Assumptions'!$B$13,$C13*('Assumptions'!$B$12^22)),$C13))</x:f>
        <x:v>25.744734585847826</x:v>
      </x:c>
      <x:c r="AH13" s="68" t="n">
        <x:f>AG13*(1+IF($C13&gt;='Assumptions'!$B$13,MAX('Assumptions'!$B$13,$C13*('Assumptions'!$B$12^23)),$C13))</x:f>
        <x:v>28.834102736149568</x:v>
      </x:c>
      <x:c r="AI13" s="68" t="n">
        <x:f>AH13*(1+IF($C13&gt;='Assumptions'!$B$13,MAX('Assumptions'!$B$13,$C13*('Assumptions'!$B$12^24)),$C13))</x:f>
        <x:v>32.29419506448752</x:v>
      </x:c>
    </x:row>
    <x:row r="14">
      <x:c r="A14" s="65" t="str">
        <x:f>'Company Inputs'!A14</x:f>
        <x:v>5588</x:v>
      </x:c>
      <x:c r="B14" s="65" t="str">
        <x:f>'Company Inputs'!B14</x:f>
        <x:v>Fast Accounting</x:v>
      </x:c>
      <x:c r="C14" s="6" t="n">
        <x:f>'Company Inputs'!F14</x:f>
        <x:v>0.25356</x:v>
      </x:c>
      <x:c r="D14" s="66" t="n">
        <x:f>IF('Company Inputs'!C14&gt;0,LN('Assumptions'!$B$4)/LN(1+'Company Inputs'!C14),"")</x:f>
        <x:v>1.6933935985332964</x:v>
      </x:c>
      <x:c r="E14" s="66" t="n">
        <x:f>IF('Company Inputs'!E14&gt;0,LN('Assumptions'!$B$4)/LN(1+'Company Inputs'!E14),"")</x:f>
        <x:v>10.388331080571295</x:v>
      </x:c>
      <x:c r="F14" s="67" t="n">
        <x:f>IF(C14&gt;0,COUNTIF(J14:AI14,"&lt;"&amp;('Assumptions'!$B$4/'Assumptions'!$B$5)),"")</x:f>
        <x:v>3</x:v>
      </x:c>
      <x:c r="G14" s="67" t="n">
        <x:f>IF(C14&gt;0,COUNTIF(J14:AI14,"&lt;"&amp;('Assumptions'!$B$4/'Assumptions'!$B$6)),"")</x:f>
        <x:v>4</x:v>
      </x:c>
      <x:c r="H14" s="67" t="n">
        <x:f>IF(C14&gt;0,COUNTIF(J14:AI14,"&lt;"&amp;('Assumptions'!$B$4/'Assumptions'!$B$7)),"")</x:f>
        <x:v>6</x:v>
      </x:c>
      <x:c r="I14" s="67" t="n">
        <x:f>IF(C14&gt;0,COUNTIF(J14:AI14,"&lt;"&amp;('Assumptions'!$B$4*'Assumptions'!$B$8)),"")</x:f>
        <x:v>5</x:v>
      </x:c>
      <x:c r="J14" s="68" t="n">
        <x:v>1</x:v>
      </x:c>
      <x:c r="K14" s="68" t="n">
        <x:f>J14*(1+IF($C14&gt;='Assumptions'!$B$13,MAX('Assumptions'!$B$13,$C14*('Assumptions'!$B$12^0)),$C14))</x:f>
        <x:v>1.25356</x:v>
      </x:c>
      <x:c r="L14" s="68" t="n">
        <x:f>K14*(1+IF($C14&gt;='Assumptions'!$B$13,MAX('Assumptions'!$B$13,$C14*('Assumptions'!$B$12^1)),$C14))</x:f>
        <x:v>1.5332703527680003</x:v>
      </x:c>
      <x:c r="M14" s="68" t="n">
        <x:f>L14*(1+IF($C14&gt;='Assumptions'!$B$13,MAX('Assumptions'!$B$13,$C14*('Assumptions'!$B$12^2)),$C14))</x:f>
        <x:v>1.8343385109016985</x:v>
      </x:c>
      <x:c r="N14" s="68" t="n">
        <x:f>M14*(1+IF($C14&gt;='Assumptions'!$B$13,MAX('Assumptions'!$B$13,$C14*('Assumptions'!$B$12^3)),$C14))</x:f>
        <x:v>2.1513012735149752</x:v>
      </x:c>
      <x:c r="O14" s="68" t="n">
        <x:f>N14*(1+IF($C14&gt;='Assumptions'!$B$13,MAX('Assumptions'!$B$13,$C14*('Assumptions'!$B$12^4)),$C14))</x:f>
        <x:v>2.4784254678316433</x:v>
      </x:c>
      <x:c r="P14" s="68" t="n">
        <x:f>O14*(1+IF($C14&gt;='Assumptions'!$B$13,MAX('Assumptions'!$B$13,$C14*('Assumptions'!$B$12^5)),$C14))</x:f>
        <x:v>2.8100678049609393</x:v>
      </x:c>
      <x:c r="Q14" s="68" t="n">
        <x:f>P14*(1+IF($C14&gt;='Assumptions'!$B$13,MAX('Assumptions'!$B$13,$C14*('Assumptions'!$B$12^6)),$C14))</x:f>
        <x:v>3.1472759415562526</x:v>
      </x:c>
      <x:c r="R14" s="68" t="n">
        <x:f>Q14*(1+IF($C14&gt;='Assumptions'!$B$13,MAX('Assumptions'!$B$13,$C14*('Assumptions'!$B$12^7)),$C14))</x:f>
        <x:v>3.5249490545430033</x:v>
      </x:c>
      <x:c r="S14" s="68" t="n">
        <x:f>R14*(1+IF($C14&gt;='Assumptions'!$B$13,MAX('Assumptions'!$B$13,$C14*('Assumptions'!$B$12^8)),$C14))</x:f>
        <x:v>3.947942941088164</x:v>
      </x:c>
      <x:c r="T14" s="68" t="n">
        <x:f>S14*(1+IF($C14&gt;='Assumptions'!$B$13,MAX('Assumptions'!$B$13,$C14*('Assumptions'!$B$12^9)),$C14))</x:f>
        <x:v>4.421696094018745</x:v>
      </x:c>
      <x:c r="U14" s="68" t="n">
        <x:f>T14*(1+IF($C14&gt;='Assumptions'!$B$13,MAX('Assumptions'!$B$13,$C14*('Assumptions'!$B$12^10)),$C14))</x:f>
        <x:v>4.952299625300994</x:v>
      </x:c>
      <x:c r="V14" s="68" t="n">
        <x:f>U14*(1+IF($C14&gt;='Assumptions'!$B$13,MAX('Assumptions'!$B$13,$C14*('Assumptions'!$B$12^11)),$C14))</x:f>
        <x:v>5.546575580337114</x:v>
      </x:c>
      <x:c r="W14" s="68" t="n">
        <x:f>V14*(1+IF($C14&gt;='Assumptions'!$B$13,MAX('Assumptions'!$B$13,$C14*('Assumptions'!$B$12^12)),$C14))</x:f>
        <x:v>6.212164649977568</x:v>
      </x:c>
      <x:c r="X14" s="68" t="n">
        <x:f>W14*(1+IF($C14&gt;='Assumptions'!$B$13,MAX('Assumptions'!$B$13,$C14*('Assumptions'!$B$12^13)),$C14))</x:f>
        <x:v>6.957624407974877</x:v>
      </x:c>
      <x:c r="Y14" s="68" t="n">
        <x:f>X14*(1+IF($C14&gt;='Assumptions'!$B$13,MAX('Assumptions'!$B$13,$C14*('Assumptions'!$B$12^14)),$C14))</x:f>
        <x:v>7.792539336931863</x:v>
      </x:c>
      <x:c r="Z14" s="68" t="n">
        <x:f>Y14*(1+IF($C14&gt;='Assumptions'!$B$13,MAX('Assumptions'!$B$13,$C14*('Assumptions'!$B$12^15)),$C14))</x:f>
        <x:v>8.727644057363689</x:v>
      </x:c>
      <x:c r="AA14" s="68" t="n">
        <x:f>Z14*(1+IF($C14&gt;='Assumptions'!$B$13,MAX('Assumptions'!$B$13,$C14*('Assumptions'!$B$12^16)),$C14))</x:f>
        <x:v>9.774961344247332</x:v>
      </x:c>
      <x:c r="AB14" s="68" t="n">
        <x:f>AA14*(1+IF($C14&gt;='Assumptions'!$B$13,MAX('Assumptions'!$B$13,$C14*('Assumptions'!$B$12^17)),$C14))</x:f>
        <x:v>10.947956705557013</x:v>
      </x:c>
      <x:c r="AC14" s="68" t="n">
        <x:f>AB14*(1+IF($C14&gt;='Assumptions'!$B$13,MAX('Assumptions'!$B$13,$C14*('Assumptions'!$B$12^18)),$C14))</x:f>
        <x:v>12.261711510223856</x:v>
      </x:c>
      <x:c r="AD14" s="68" t="n">
        <x:f>AC14*(1+IF($C14&gt;='Assumptions'!$B$13,MAX('Assumptions'!$B$13,$C14*('Assumptions'!$B$12^19)),$C14))</x:f>
        <x:v>13.73311689145072</x:v>
      </x:c>
      <x:c r="AE14" s="68" t="n">
        <x:f>AD14*(1+IF($C14&gt;='Assumptions'!$B$13,MAX('Assumptions'!$B$13,$C14*('Assumptions'!$B$12^20)),$C14))</x:f>
        <x:v>15.381090918424809</x:v>
      </x:c>
      <x:c r="AF14" s="68" t="n">
        <x:f>AE14*(1+IF($C14&gt;='Assumptions'!$B$13,MAX('Assumptions'!$B$13,$C14*('Assumptions'!$B$12^21)),$C14))</x:f>
        <x:v>17.22682182863579</x:v>
      </x:c>
      <x:c r="AG14" s="68" t="n">
        <x:f>AF14*(1+IF($C14&gt;='Assumptions'!$B$13,MAX('Assumptions'!$B$13,$C14*('Assumptions'!$B$12^22)),$C14))</x:f>
        <x:v>19.294040448072085</x:v>
      </x:c>
      <x:c r="AH14" s="68" t="n">
        <x:f>AG14*(1+IF($C14&gt;='Assumptions'!$B$13,MAX('Assumptions'!$B$13,$C14*('Assumptions'!$B$12^23)),$C14))</x:f>
        <x:v>21.609325301840737</x:v>
      </x:c>
      <x:c r="AI14" s="68" t="n">
        <x:f>AH14*(1+IF($C14&gt;='Assumptions'!$B$13,MAX('Assumptions'!$B$13,$C14*('Assumptions'!$B$12^24)),$C14))</x:f>
        <x:v>24.20244433806163</x:v>
      </x:c>
    </x:row>
    <x:row r="15">
      <x:c r="A15" s="65" t="str">
        <x:f>'Company Inputs'!A15</x:f>
        <x:v>9337</x:v>
      </x:c>
      <x:c r="B15" s="65" t="str">
        <x:f>'Company Inputs'!B15</x:f>
        <x:v>toridori</x:v>
      </x:c>
      <x:c r="C15" s="6" t="n">
        <x:f>'Company Inputs'!F15</x:f>
        <x:v>0.40144</x:v>
      </x:c>
      <x:c r="D15" s="66" t="n">
        <x:f>IF('Company Inputs'!C15&gt;0,LN('Assumptions'!$B$4)/LN(1+'Company Inputs'!C15),"")</x:f>
        <x:v>1.706146337458105</x:v>
      </x:c>
      <x:c r="E15" s="66" t="n">
        <x:f>IF('Company Inputs'!E15&gt;0,LN('Assumptions'!$B$4)/LN(1+'Company Inputs'!E15),"")</x:f>
        <x:v>2.0049664395242695</x:v>
      </x:c>
      <x:c r="F15" s="67" t="n">
        <x:f>IF(C15&gt;0,COUNTIF(J15:AI15,"&lt;"&amp;('Assumptions'!$B$4/'Assumptions'!$B$5)),"")</x:f>
        <x:v>2</x:v>
      </x:c>
      <x:c r="G15" s="67" t="n">
        <x:f>IF(C15&gt;0,COUNTIF(J15:AI15,"&lt;"&amp;('Assumptions'!$B$4/'Assumptions'!$B$6)),"")</x:f>
        <x:v>3</x:v>
      </x:c>
      <x:c r="H15" s="67" t="n">
        <x:f>IF(C15&gt;0,COUNTIF(J15:AI15,"&lt;"&amp;('Assumptions'!$B$4/'Assumptions'!$B$7)),"")</x:f>
        <x:v>4</x:v>
      </x:c>
      <x:c r="I15" s="67" t="n">
        <x:f>IF(C15&gt;0,COUNTIF(J15:AI15,"&lt;"&amp;('Assumptions'!$B$4*'Assumptions'!$B$8)),"")</x:f>
        <x:v>3</x:v>
      </x:c>
      <x:c r="J15" s="68" t="n">
        <x:v>1</x:v>
      </x:c>
      <x:c r="K15" s="68" t="n">
        <x:f>J15*(1+IF($C15&gt;='Assumptions'!$B$13,MAX('Assumptions'!$B$13,$C15*('Assumptions'!$B$12^0)),$C15))</x:f>
        <x:v>1.40144</x:v>
      </x:c>
      <x:c r="L15" s="68" t="n">
        <x:f>K15*(1+IF($C15&gt;='Assumptions'!$B$13,MAX('Assumptions'!$B$13,$C15*('Assumptions'!$B$12^1)),$C15))</x:f>
        <x:v>1.896522784768</x:v>
      </x:c>
      <x:c r="M15" s="68" t="n">
        <x:f>L15*(1+IF($C15&gt;='Assumptions'!$B$13,MAX('Assumptions'!$B$13,$C15*('Assumptions'!$B$12^2)),$C15))</x:f>
        <x:v>2.4861045634098504</x:v>
      </x:c>
      <x:c r="N15" s="68" t="n">
        <x:f>M15*(1+IF($C15&gt;='Assumptions'!$B$13,MAX('Assumptions'!$B$13,$C15*('Assumptions'!$B$12^3)),$C15))</x:f>
        <x:v>3.1662284863588774</x:v>
      </x:c>
      <x:c r="O15" s="68" t="n">
        <x:f>N15*(1+IF($C15&gt;='Assumptions'!$B$13,MAX('Assumptions'!$B$13,$C15*('Assumptions'!$B$12^4)),$C15))</x:f>
        <x:v>3.92847173159261</x:v>
      </x:c>
      <x:c r="P15" s="68" t="n">
        <x:f>O15*(1+IF($C15&gt;='Assumptions'!$B$13,MAX('Assumptions'!$B$13,$C15*('Assumptions'!$B$12^5)),$C15))</x:f>
        <x:v>4.760729077476295</x:v>
      </x:c>
      <x:c r="Q15" s="68" t="n">
        <x:f>P15*(1+IF($C15&gt;='Assumptions'!$B$13,MAX('Assumptions'!$B$13,$C15*('Assumptions'!$B$12^6)),$C15))</x:f>
        <x:v>5.648273592273958</x:v>
      </x:c>
      <x:c r="R15" s="68" t="n">
        <x:f>Q15*(1+IF($C15&gt;='Assumptions'!$B$13,MAX('Assumptions'!$B$13,$C15*('Assumptions'!$B$12^7)),$C15))</x:f>
        <x:v>6.574922192460619</x:v>
      </x:c>
      <x:c r="S15" s="68" t="n">
        <x:f>R15*(1+IF($C15&gt;='Assumptions'!$B$13,MAX('Assumptions'!$B$13,$C15*('Assumptions'!$B$12^8)),$C15))</x:f>
        <x:v>7.524154779174561</x:v>
      </x:c>
      <x:c r="T15" s="68" t="n">
        <x:f>S15*(1+IF($C15&gt;='Assumptions'!$B$13,MAX('Assumptions'!$B$13,$C15*('Assumptions'!$B$12^9)),$C15))</x:f>
        <x:v>8.480076685385765</x:v>
      </x:c>
      <x:c r="U15" s="68" t="n">
        <x:f>T15*(1+IF($C15&gt;='Assumptions'!$B$13,MAX('Assumptions'!$B$13,$C15*('Assumptions'!$B$12^10)),$C15))</x:f>
        <x:v>9.497685887632057</x:v>
      </x:c>
      <x:c r="V15" s="68" t="n">
        <x:f>U15*(1+IF($C15&gt;='Assumptions'!$B$13,MAX('Assumptions'!$B$13,$C15*('Assumptions'!$B$12^11)),$C15))</x:f>
        <x:v>10.637408194147906</x:v>
      </x:c>
      <x:c r="W15" s="68" t="n">
        <x:f>V15*(1+IF($C15&gt;='Assumptions'!$B$13,MAX('Assumptions'!$B$13,$C15*('Assumptions'!$B$12^12)),$C15))</x:f>
        <x:v>11.913897177445655</x:v>
      </x:c>
      <x:c r="X15" s="68" t="n">
        <x:f>W15*(1+IF($C15&gt;='Assumptions'!$B$13,MAX('Assumptions'!$B$13,$C15*('Assumptions'!$B$12^13)),$C15))</x:f>
        <x:v>13.343564838739136</x:v>
      </x:c>
      <x:c r="Y15" s="68" t="n">
        <x:f>X15*(1+IF($C15&gt;='Assumptions'!$B$13,MAX('Assumptions'!$B$13,$C15*('Assumptions'!$B$12^14)),$C15))</x:f>
        <x:v>14.944792619387833</x:v>
      </x:c>
      <x:c r="Z15" s="68" t="n">
        <x:f>Y15*(1+IF($C15&gt;='Assumptions'!$B$13,MAX('Assumptions'!$B$13,$C15*('Assumptions'!$B$12^15)),$C15))</x:f>
        <x:v>16.738167733714373</x:v>
      </x:c>
      <x:c r="AA15" s="68" t="n">
        <x:f>Z15*(1+IF($C15&gt;='Assumptions'!$B$13,MAX('Assumptions'!$B$13,$C15*('Assumptions'!$B$12^16)),$C15))</x:f>
        <x:v>18.7467478617601</x:v>
      </x:c>
      <x:c r="AB15" s="68" t="n">
        <x:f>AA15*(1+IF($C15&gt;='Assumptions'!$B$13,MAX('Assumptions'!$B$13,$C15*('Assumptions'!$B$12^17)),$C15))</x:f>
        <x:v>20.996357605171312</x:v>
      </x:c>
      <x:c r="AC15" s="68" t="n">
        <x:f>AB15*(1+IF($C15&gt;='Assumptions'!$B$13,MAX('Assumptions'!$B$13,$C15*('Assumptions'!$B$12^18)),$C15))</x:f>
        <x:v>23.515920517791873</x:v>
      </x:c>
      <x:c r="AD15" s="68" t="n">
        <x:f>AC15*(1+IF($C15&gt;='Assumptions'!$B$13,MAX('Assumptions'!$B$13,$C15*('Assumptions'!$B$12^19)),$C15))</x:f>
        <x:v>26.3378309799269</x:v>
      </x:c>
      <x:c r="AE15" s="68" t="n">
        <x:f>AD15*(1+IF($C15&gt;='Assumptions'!$B$13,MAX('Assumptions'!$B$13,$C15*('Assumptions'!$B$12^20)),$C15))</x:f>
        <x:v>29.49837069751813</x:v>
      </x:c>
      <x:c r="AF15" s="68" t="n">
        <x:f>AE15*(1+IF($C15&gt;='Assumptions'!$B$13,MAX('Assumptions'!$B$13,$C15*('Assumptions'!$B$12^21)),$C15))</x:f>
        <x:v>33.03817518122031</x:v>
      </x:c>
      <x:c r="AG15" s="68" t="n">
        <x:f>AF15*(1+IF($C15&gt;='Assumptions'!$B$13,MAX('Assumptions'!$B$13,$C15*('Assumptions'!$B$12^22)),$C15))</x:f>
        <x:v>37.00275620296675</x:v>
      </x:c>
      <x:c r="AH15" s="68" t="n">
        <x:f>AG15*(1+IF($C15&gt;='Assumptions'!$B$13,MAX('Assumptions'!$B$13,$C15*('Assumptions'!$B$12^23)),$C15))</x:f>
        <x:v>41.44308694732276</x:v>
      </x:c>
      <x:c r="AI15" s="68" t="n">
        <x:f>AH15*(1+IF($C15&gt;='Assumptions'!$B$13,MAX('Assumptions'!$B$13,$C15*('Assumptions'!$B$12^24)),$C15))</x:f>
        <x:v>46.4162573810015</x:v>
      </x:c>
    </x:row>
    <x:row r="16">
      <x:c r="A16" s="65" t="str">
        <x:f>'Company Inputs'!A16</x:f>
        <x:v>9338</x:v>
      </x:c>
      <x:c r="B16" s="65" t="str">
        <x:f>'Company Inputs'!B16</x:f>
        <x:v>INFORICH</x:v>
      </x:c>
      <x:c r="C16" s="6" t="n">
        <x:f>'Company Inputs'!F16</x:f>
        <x:v>0.05018</x:v>
      </x:c>
      <x:c r="D16" s="66" t="n">
        <x:f>IF('Company Inputs'!C16&gt;0,LN('Assumptions'!$B$4)/LN(1+'Company Inputs'!C16),"")</x:f>
        <x:v>1.2768729629376192</x:v>
      </x:c>
      <x:c r="E16" s="66" t="str">
        <x:f>IF('Company Inputs'!E16&gt;0,LN('Assumptions'!$B$4)/LN(1+'Company Inputs'!E16),"")</x:f>
      </x:c>
      <x:c r="F16" s="67" t="n">
        <x:f>IF(C16&gt;0,COUNTIF(J16:AI16,"&lt;"&amp;('Assumptions'!$B$4/'Assumptions'!$B$5)),"")</x:f>
        <x:v>10</x:v>
      </x:c>
      <x:c r="G16" s="67" t="n">
        <x:f>IF(C16&gt;0,COUNTIF(J16:AI16,"&lt;"&amp;('Assumptions'!$B$4/'Assumptions'!$B$6)),"")</x:f>
        <x:v>15</x:v>
      </x:c>
      <x:c r="H16" s="67" t="n">
        <x:f>IF(C16&gt;0,COUNTIF(J16:AI16,"&lt;"&amp;('Assumptions'!$B$4/'Assumptions'!$B$7)),"")</x:f>
        <x:v>21</x:v>
      </x:c>
      <x:c r="I16" s="67" t="n">
        <x:f>IF(C16&gt;0,COUNTIF(J16:AI16,"&lt;"&amp;('Assumptions'!$B$4*'Assumptions'!$B$8)),"")</x:f>
        <x:v>17</x:v>
      </x:c>
      <x:c r="J16" s="68" t="n">
        <x:v>1</x:v>
      </x:c>
      <x:c r="K16" s="68" t="n">
        <x:f>J16*(1+IF($C16&gt;='Assumptions'!$B$13,MAX('Assumptions'!$B$13,$C16*('Assumptions'!$B$12^0)),$C16))</x:f>
        <x:v>1.0501800000000001</x:v>
      </x:c>
      <x:c r="L16" s="68" t="n">
        <x:f>K16*(1+IF($C16&gt;='Assumptions'!$B$13,MAX('Assumptions'!$B$13,$C16*('Assumptions'!$B$12^1)),$C16))</x:f>
        <x:v>1.1028780324000003</x:v>
      </x:c>
      <x:c r="M16" s="68" t="n">
        <x:f>L16*(1+IF($C16&gt;='Assumptions'!$B$13,MAX('Assumptions'!$B$13,$C16*('Assumptions'!$B$12^2)),$C16))</x:f>
        <x:v>1.1582204520658324</x:v>
      </x:c>
      <x:c r="N16" s="68" t="n">
        <x:f>M16*(1+IF($C16&gt;='Assumptions'!$B$13,MAX('Assumptions'!$B$13,$C16*('Assumptions'!$B$12^3)),$C16))</x:f>
        <x:v>1.216339954350496</x:v>
      </x:c>
      <x:c r="O16" s="68" t="n">
        <x:f>N16*(1+IF($C16&gt;='Assumptions'!$B$13,MAX('Assumptions'!$B$13,$C16*('Assumptions'!$B$12^4)),$C16))</x:f>
        <x:v>1.277375893259804</x:v>
      </x:c>
      <x:c r="P16" s="68" t="n">
        <x:f>O16*(1+IF($C16&gt;='Assumptions'!$B$13,MAX('Assumptions'!$B$13,$C16*('Assumptions'!$B$12^5)),$C16))</x:f>
        <x:v>1.341474615583581</x:v>
      </x:c>
      <x:c r="Q16" s="68" t="n">
        <x:f>P16*(1+IF($C16&gt;='Assumptions'!$B$13,MAX('Assumptions'!$B$13,$C16*('Assumptions'!$B$12^6)),$C16))</x:f>
        <x:v>1.4087898117935653</x:v>
      </x:c>
      <x:c r="R16" s="68" t="n">
        <x:f>Q16*(1+IF($C16&gt;='Assumptions'!$B$13,MAX('Assumptions'!$B$13,$C16*('Assumptions'!$B$12^7)),$C16))</x:f>
        <x:v>1.4794828845493666</x:v>
      </x:c>
      <x:c r="S16" s="68" t="n">
        <x:f>R16*(1+IF($C16&gt;='Assumptions'!$B$13,MAX('Assumptions'!$B$13,$C16*('Assumptions'!$B$12^8)),$C16))</x:f>
        <x:v>1.553723335696054</x:v>
      </x:c>
      <x:c r="T16" s="68" t="n">
        <x:f>S16*(1+IF($C16&gt;='Assumptions'!$B$13,MAX('Assumptions'!$B$13,$C16*('Assumptions'!$B$12^9)),$C16))</x:f>
        <x:v>1.631689172681282</x:v>
      </x:c>
      <x:c r="U16" s="68" t="n">
        <x:f>T16*(1+IF($C16&gt;='Assumptions'!$B$13,MAX('Assumptions'!$B$13,$C16*('Assumptions'!$B$12^10)),$C16))</x:f>
        <x:v>1.7135673353664291</x:v>
      </x:c>
      <x:c r="V16" s="68" t="n">
        <x:f>U16*(1+IF($C16&gt;='Assumptions'!$B$13,MAX('Assumptions'!$B$13,$C16*('Assumptions'!$B$12^11)),$C16))</x:f>
        <x:v>1.7995541442551168</x:v>
      </x:c>
      <x:c r="W16" s="68" t="n">
        <x:f>V16*(1+IF($C16&gt;='Assumptions'!$B$13,MAX('Assumptions'!$B$13,$C16*('Assumptions'!$B$12^12)),$C16))</x:f>
        <x:v>1.8898557712138389</x:v>
      </x:c>
      <x:c r="X16" s="68" t="n">
        <x:f>W16*(1+IF($C16&gt;='Assumptions'!$B$13,MAX('Assumptions'!$B$13,$C16*('Assumptions'!$B$12^13)),$C16))</x:f>
        <x:v>1.9846887338133494</x:v>
      </x:c>
      <x:c r="Y16" s="68" t="n">
        <x:f>X16*(1+IF($C16&gt;='Assumptions'!$B$13,MAX('Assumptions'!$B$13,$C16*('Assumptions'!$B$12^14)),$C16))</x:f>
        <x:v>2.0842804144761033</x:v>
      </x:c>
      <x:c r="Z16" s="68" t="n">
        <x:f>Y16*(1+IF($C16&gt;='Assumptions'!$B$13,MAX('Assumptions'!$B$13,$C16*('Assumptions'!$B$12^15)),$C16))</x:f>
        <x:v>2.1888696056745145</x:v>
      </x:c>
      <x:c r="AA16" s="68" t="n">
        <x:f>Z16*(1+IF($C16&gt;='Assumptions'!$B$13,MAX('Assumptions'!$B$13,$C16*('Assumptions'!$B$12^16)),$C16))</x:f>
        <x:v>2.2987070824872617</x:v>
      </x:c>
      <x:c r="AB16" s="68" t="n">
        <x:f>AA16*(1+IF($C16&gt;='Assumptions'!$B$13,MAX('Assumptions'!$B$13,$C16*('Assumptions'!$B$12^17)),$C16))</x:f>
        <x:v>2.414056203886473</x:v>
      </x:c>
      <x:c r="AC16" s="68" t="n">
        <x:f>AB16*(1+IF($C16&gt;='Assumptions'!$B$13,MAX('Assumptions'!$B$13,$C16*('Assumptions'!$B$12^18)),$C16))</x:f>
        <x:v>2.5351935441974964</x:v>
      </x:c>
      <x:c r="AD16" s="68" t="n">
        <x:f>AC16*(1+IF($C16&gt;='Assumptions'!$B$13,MAX('Assumptions'!$B$13,$C16*('Assumptions'!$B$12^19)),$C16))</x:f>
        <x:v>2.662409556245327</x:v>
      </x:c>
      <x:c r="AE16" s="68" t="n">
        <x:f>AD16*(1+IF($C16&gt;='Assumptions'!$B$13,MAX('Assumptions'!$B$13,$C16*('Assumptions'!$B$12^20)),$C16))</x:f>
        <x:v>2.7960092677777175</x:v>
      </x:c>
      <x:c r="AF16" s="68" t="n">
        <x:f>AE16*(1+IF($C16&gt;='Assumptions'!$B$13,MAX('Assumptions'!$B$13,$C16*('Assumptions'!$B$12^21)),$C16))</x:f>
        <x:v>2.9363130128348036</x:v>
      </x:c>
      <x:c r="AG16" s="68" t="n">
        <x:f>AF16*(1+IF($C16&gt;='Assumptions'!$B$13,MAX('Assumptions'!$B$13,$C16*('Assumptions'!$B$12^22)),$C16))</x:f>
        <x:v>3.0836571998188544</x:v>
      </x:c>
      <x:c r="AH16" s="68" t="n">
        <x:f>AG16*(1+IF($C16&gt;='Assumptions'!$B$13,MAX('Assumptions'!$B$13,$C16*('Assumptions'!$B$12^23)),$C16))</x:f>
        <x:v>3.238395118105765</x:v>
      </x:c>
      <x:c r="AI16" s="68" t="n">
        <x:f>AH16*(1+IF($C16&gt;='Assumptions'!$B$13,MAX('Assumptions'!$B$13,$C16*('Assumptions'!$B$12^24)),$C16))</x:f>
        <x:v>3.4008977851323126</x:v>
      </x:c>
    </x:row>
  </x:sheetData>
  <x:mergeCells>
    <x:mergeCell ref="A1:A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6.3300018310547" hidden="0" customWidth="1"/>
    <x:col min="2" max="2" width="20" hidden="0" customWidth="1"/>
    <x:col min="3" max="3" width="9" hidden="0" customWidth="1"/>
    <x:col min="4" max="4" width="9" hidden="0" customWidth="1"/>
    <x:col min="5" max="5" width="10.4399995803833" hidden="0" customWidth="1"/>
    <x:col min="6" max="6" width="18.440000534057617" hidden="0" customWidth="1"/>
    <x:col min="7" max="7" width="13.890000343322754" hidden="0" customWidth="1"/>
    <x:col min="8" max="8" width="19.440000534057617" hidden="0" customWidth="1"/>
    <x:col min="9" max="9" width="18" hidden="0" customWidth="1"/>
    <x:col min="10" max="10" width="11.109999656677246" hidden="0" customWidth="1"/>
    <x:col min="11" max="11" width="9.670000076293945" hidden="0" customWidth="1"/>
    <x:col min="12" max="12" width="11.109999656677246" hidden="0" customWidth="1"/>
    <x:col min="13" max="13" width="9.670000076293945" hidden="0" customWidth="1"/>
    <x:col min="14" max="14" width="11.109999656677246" hidden="0" customWidth="1"/>
    <x:col min="15" max="15" width="9.670000076293945" hidden="0" customWidth="1"/>
  </x:cols>
  <x:sheetData>
    <x:row r="1" ht="28" customHeight="1">
      <x:c r="A1" s="12" t="str">
        <x:v>Observed adjusted-close doubling diagnostic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</x:row>
    <x:row r="2" ht="15" hidden="0" customHeight="1">
      <x:c r="A2" s="32" t="str">
        <x:v>Each trading day is treated as a hypothetical entry. Success means a later adjusted close reached 2.0x. Rates are descriptive, not independent observations or forecasts; late entries are right-censored.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</x:row>
    <x:row r="4">
      <x:c r="A4" s="21" t="str">
        <x:v>Code</x:v>
      </x:c>
      <x:c r="B4" s="22" t="str">
        <x:v>Company</x:v>
      </x:c>
      <x:c r="C4" s="22" t="str">
        <x:v>First date</x:v>
      </x:c>
      <x:c r="D4" s="22" t="str">
        <x:v>Last date</x:v>
      </x:c>
      <x:c r="E4" s="22" t="str">
        <x:v>Trading days</x:v>
      </x:c>
      <x:c r="F4" s="22" t="str">
        <x:v>First-entry double days</x:v>
      </x:c>
      <x:c r="G4" s="22" t="str">
        <x:v>Observed hit rate</x:v>
      </x:c>
      <x:c r="H4" s="22" t="str">
        <x:v>Median days among hits</x:v>
      </x:c>
      <x:c r="I4" s="22" t="str">
        <x:v>Mean days among hits</x:v>
      </x:c>
      <x:c r="J4" s="22" t="str">
        <x:v>Within 1y rate</x:v>
      </x:c>
      <x:c r="K4" s="22" t="str">
        <x:v>1y eligible n</x:v>
      </x:c>
      <x:c r="L4" s="22" t="str">
        <x:v>Within 2y rate</x:v>
      </x:c>
      <x:c r="M4" s="22" t="str">
        <x:v>2y eligible n</x:v>
      </x:c>
      <x:c r="N4" s="22" t="str">
        <x:v>Within 3y rate</x:v>
      </x:c>
      <x:c r="O4" s="23" t="str">
        <x:v>3y eligible n</x:v>
      </x:c>
    </x:row>
    <x:row r="5">
      <x:c r="A5" t="str">
        <x:v>4377</x:v>
      </x:c>
      <x:c r="B5" t="str">
        <x:v>ONE CAREER</x:v>
      </x:c>
      <x:c r="C5" t="str">
        <x:v>2021-10-07</x:v>
      </x:c>
      <x:c r="D5" t="str">
        <x:v>2026-06-01</x:v>
      </x:c>
      <x:c r="E5" t="n">
        <x:v>1135</x:v>
      </x:c>
      <x:c r="F5" s="8" t="n">
        <x:v>496</x:v>
      </x:c>
      <x:c r="G5" s="4" t="n">
        <x:v>0.625551</x:v>
      </x:c>
      <x:c r="H5" s="7" t="n">
        <x:v>594.5</x:v>
      </x:c>
      <x:c r="I5" s="7" t="n">
        <x:v>642.9</x:v>
      </x:c>
      <x:c r="J5" s="4" t="n">
        <x:v>0.164798</x:v>
      </x:c>
      <x:c r="K5" t="n">
        <x:v>892</x:v>
      </x:c>
      <x:c r="L5" s="4" t="n">
        <x:v>0.50077</x:v>
      </x:c>
      <x:c r="M5" t="n">
        <x:v>649</x:v>
      </x:c>
      <x:c r="N5" s="4" t="n">
        <x:v>0.859259</x:v>
      </x:c>
      <x:c r="O5" t="n">
        <x:v>405</x:v>
      </x:c>
    </x:row>
    <x:row r="6">
      <x:c r="A6" t="str">
        <x:v>5032</x:v>
      </x:c>
      <x:c r="B6" t="str">
        <x:v>ANYCOLOR</x:v>
      </x:c>
      <x:c r="C6" t="str">
        <x:v>2022-06-09</x:v>
      </x:c>
      <x:c r="D6" t="str">
        <x:v>2026-06-01</x:v>
      </x:c>
      <x:c r="E6" t="n">
        <x:v>972</x:v>
      </x:c>
      <x:c r="F6" s="8" t="n">
        <x:v>112</x:v>
      </x:c>
      <x:c r="G6" s="4" t="n">
        <x:v>0.515432</x:v>
      </x:c>
      <x:c r="H6" s="7" t="n">
        <x:v>416</x:v>
      </x:c>
      <x:c r="I6" s="7" t="n">
        <x:v>505.1</x:v>
      </x:c>
      <x:c r="J6" s="4" t="n">
        <x:v>0.297668</x:v>
      </x:c>
      <x:c r="K6" t="n">
        <x:v>729</x:v>
      </x:c>
      <x:c r="L6" s="4" t="n">
        <x:v>0.286008</x:v>
      </x:c>
      <x:c r="M6" t="n">
        <x:v>486</x:v>
      </x:c>
      <x:c r="N6" s="4" t="n">
        <x:v>0.595041</x:v>
      </x:c>
      <x:c r="O6" t="n">
        <x:v>242</x:v>
      </x:c>
    </x:row>
    <x:row r="7">
      <x:c r="A7" t="str">
        <x:v>5038</x:v>
      </x:c>
      <x:c r="B7" t="str">
        <x:v>eWeLL</x:v>
      </x:c>
      <x:c r="C7" t="str">
        <x:v>2022-09-20</x:v>
      </x:c>
      <x:c r="D7" t="str">
        <x:v>2026-06-01</x:v>
      </x:c>
      <x:c r="E7" t="n">
        <x:v>902</x:v>
      </x:c>
      <x:c r="F7" s="8"/>
      <x:c r="G7" s="4" t="n">
        <x:v>0.09867</x:v>
      </x:c>
      <x:c r="H7" s="7" t="n">
        <x:v>409</x:v>
      </x:c>
      <x:c r="I7" s="7" t="n">
        <x:v>419.4</x:v>
      </x:c>
      <x:c r="J7" s="4" t="n">
        <x:v>0.036419</x:v>
      </x:c>
      <x:c r="K7" t="n">
        <x:v>659</x:v>
      </x:c>
      <x:c r="L7" s="4" t="n">
        <x:v>0.096154</x:v>
      </x:c>
      <x:c r="M7" t="n">
        <x:v>416</x:v>
      </x:c>
      <x:c r="N7" s="4" t="n">
        <x:v>0</x:v>
      </x:c>
      <x:c r="O7" t="n">
        <x:v>172</x:v>
      </x:c>
    </x:row>
    <x:row r="8">
      <x:c r="A8" t="str">
        <x:v>5132</x:v>
      </x:c>
      <x:c r="B8" t="str">
        <x:v>pluszero</x:v>
      </x:c>
      <x:c r="C8" t="str">
        <x:v>2022-10-31</x:v>
      </x:c>
      <x:c r="D8" t="str">
        <x:v>2026-06-01</x:v>
      </x:c>
      <x:c r="E8" t="n">
        <x:v>875</x:v>
      </x:c>
      <x:c r="F8" s="8" t="n">
        <x:v>123</x:v>
      </x:c>
      <x:c r="G8" s="4" t="n">
        <x:v>0.336</x:v>
      </x:c>
      <x:c r="H8" s="7" t="n">
        <x:v>582.5</x:v>
      </x:c>
      <x:c r="I8" s="7" t="n">
        <x:v>579.6</x:v>
      </x:c>
      <x:c r="J8" s="4" t="n">
        <x:v>0.064873</x:v>
      </x:c>
      <x:c r="K8" t="n">
        <x:v>632</x:v>
      </x:c>
      <x:c r="L8" s="4" t="n">
        <x:v>0.40874</x:v>
      </x:c>
      <x:c r="M8" t="n">
        <x:v>389</x:v>
      </x:c>
      <x:c r="N8" s="4" t="n">
        <x:v>0.531034</x:v>
      </x:c>
      <x:c r="O8" t="n">
        <x:v>145</x:v>
      </x:c>
    </x:row>
    <x:row r="9">
      <x:c r="A9" t="str">
        <x:v>5134</x:v>
      </x:c>
      <x:c r="B9" t="str">
        <x:v>POPER</x:v>
      </x:c>
      <x:c r="C9" t="str">
        <x:v>2022-11-15</x:v>
      </x:c>
      <x:c r="D9" t="str">
        <x:v>2026-06-01</x:v>
      </x:c>
      <x:c r="E9" t="n">
        <x:v>865</x:v>
      </x:c>
      <x:c r="F9" s="8"/>
      <x:c r="G9" s="4" t="n">
        <x:v>0.59422</x:v>
      </x:c>
      <x:c r="H9" s="7" t="n">
        <x:v>503.5</x:v>
      </x:c>
      <x:c r="I9" s="7" t="n">
        <x:v>509.7</x:v>
      </x:c>
      <x:c r="J9" s="4" t="n">
        <x:v>0.263666</x:v>
      </x:c>
      <x:c r="K9" t="n">
        <x:v>622</x:v>
      </x:c>
      <x:c r="L9" s="4" t="n">
        <x:v>0.598945</x:v>
      </x:c>
      <x:c r="M9" t="n">
        <x:v>379</x:v>
      </x:c>
      <x:c r="N9" s="4" t="n">
        <x:v>0.762963</x:v>
      </x:c>
      <x:c r="O9" t="n">
        <x:v>135</x:v>
      </x:c>
    </x:row>
    <x:row r="10">
      <x:c r="A10" t="str">
        <x:v>5136</x:v>
      </x:c>
      <x:c r="B10" t="str">
        <x:v>tripla</x:v>
      </x:c>
      <x:c r="C10" t="str">
        <x:v>2022-11-25</x:v>
      </x:c>
      <x:c r="D10" t="str">
        <x:v>2026-06-01</x:v>
      </x:c>
      <x:c r="E10" t="n">
        <x:v>858</x:v>
      </x:c>
      <x:c r="F10" s="8"/>
      <x:c r="G10" s="4" t="n">
        <x:v>0.142191</x:v>
      </x:c>
      <x:c r="H10" s="7" t="n">
        <x:v>254</x:v>
      </x:c>
      <x:c r="I10" s="7" t="n">
        <x:v>313.3</x:v>
      </x:c>
      <x:c r="J10" s="4" t="n">
        <x:v>0.107317</x:v>
      </x:c>
      <x:c r="K10" t="n">
        <x:v>615</x:v>
      </x:c>
      <x:c r="L10" s="4" t="n">
        <x:v>0.180108</x:v>
      </x:c>
      <x:c r="M10" t="n">
        <x:v>372</x:v>
      </x:c>
      <x:c r="N10" s="4" t="n">
        <x:v>0.070312</x:v>
      </x:c>
      <x:c r="O10" t="n">
        <x:v>128</x:v>
      </x:c>
    </x:row>
    <x:row r="11">
      <x:c r="A11" t="str">
        <x:v>5253</x:v>
      </x:c>
      <x:c r="B11" t="str">
        <x:v>COVER</x:v>
      </x:c>
      <x:c r="C11" t="str">
        <x:v>2023-03-27</x:v>
      </x:c>
      <x:c r="D11" t="str">
        <x:v>2026-06-01</x:v>
      </x:c>
      <x:c r="E11" t="n">
        <x:v>777</x:v>
      </x:c>
      <x:c r="F11" s="8" t="n">
        <x:v>84</x:v>
      </x:c>
      <x:c r="G11" s="4" t="n">
        <x:v>0.081081</x:v>
      </x:c>
      <x:c r="H11" s="7" t="n">
        <x:v>120</x:v>
      </x:c>
      <x:c r="I11" s="7" t="n">
        <x:v>160.7</x:v>
      </x:c>
      <x:c r="J11" s="4" t="n">
        <x:v>0.114232</x:v>
      </x:c>
      <x:c r="K11" t="n">
        <x:v>534</x:v>
      </x:c>
      <x:c r="L11" s="4" t="n">
        <x:v>0.134021</x:v>
      </x:c>
      <x:c r="M11" t="n">
        <x:v>291</x:v>
      </x:c>
      <x:c r="N11" s="4" t="n">
        <x:v>0.595745</x:v>
      </x:c>
      <x:c r="O11" t="n">
        <x:v>47</x:v>
      </x:c>
    </x:row>
    <x:row r="12">
      <x:c r="A12" t="str">
        <x:v>5254</x:v>
      </x:c>
      <x:c r="B12" t="str">
        <x:v>Arent</x:v>
      </x:c>
      <x:c r="C12" t="str">
        <x:v>2023-03-28</x:v>
      </x:c>
      <x:c r="D12" t="str">
        <x:v>2026-06-01</x:v>
      </x:c>
      <x:c r="E12" t="n">
        <x:v>776</x:v>
      </x:c>
      <x:c r="F12" s="8" t="n">
        <x:v>10</x:v>
      </x:c>
      <x:c r="G12" s="4" t="n">
        <x:v>0.024485</x:v>
      </x:c>
      <x:c r="H12" s="7" t="n">
        <x:v>59</x:v>
      </x:c>
      <x:c r="I12" s="7" t="n">
        <x:v>156.9</x:v>
      </x:c>
      <x:c r="J12" s="4" t="n">
        <x:v>0.033771</x:v>
      </x:c>
      <x:c r="K12" t="n">
        <x:v>533</x:v>
      </x:c>
      <x:c r="L12" s="4" t="n">
        <x:v>0.065517</x:v>
      </x:c>
      <x:c r="M12" t="n">
        <x:v>290</x:v>
      </x:c>
      <x:c r="N12" s="4" t="n">
        <x:v>0.23913</x:v>
      </x:c>
      <x:c r="O12" t="n">
        <x:v>46</x:v>
      </x:c>
    </x:row>
    <x:row r="13">
      <x:c r="A13" t="str">
        <x:v>5537</x:v>
      </x:c>
      <x:c r="B13" t="str">
        <x:v>AlbaLink</x:v>
      </x:c>
      <x:c r="C13" t="str">
        <x:v>2023-11-29</x:v>
      </x:c>
      <x:c r="D13" t="str">
        <x:v>2026-06-01</x:v>
      </x:c>
      <x:c r="E13" t="n">
        <x:v>609</x:v>
      </x:c>
      <x:c r="F13" s="8" t="n">
        <x:v>749</x:v>
      </x:c>
      <x:c r="G13" s="4" t="n">
        <x:v>0.821018</x:v>
      </x:c>
      <x:c r="H13" s="7" t="n">
        <x:v>377.5</x:v>
      </x:c>
      <x:c r="I13" s="7" t="n">
        <x:v>374.9</x:v>
      </x:c>
      <x:c r="J13" s="4" t="n">
        <x:v>0.295082</x:v>
      </x:c>
      <x:c r="K13" t="n">
        <x:v>366</x:v>
      </x:c>
      <x:c r="L13" s="4" t="n">
        <x:v>0.894309</x:v>
      </x:c>
      <x:c r="M13" t="n">
        <x:v>123</x:v>
      </x:c>
      <x:c r="N13" s="4"/>
      <x:c r="O13" t="n">
        <x:v>0</x:v>
      </x:c>
    </x:row>
    <x:row r="14">
      <x:c r="A14" t="str">
        <x:v>5575</x:v>
      </x:c>
      <x:c r="B14" t="str">
        <x:v>Globee</x:v>
      </x:c>
      <x:c r="C14" t="str">
        <x:v>2023-06-14</x:v>
      </x:c>
      <x:c r="D14" t="str">
        <x:v>2026-06-01</x:v>
      </x:c>
      <x:c r="E14" t="n">
        <x:v>723</x:v>
      </x:c>
      <x:c r="F14" s="8"/>
      <x:c r="G14" s="4" t="n">
        <x:v>0</x:v>
      </x:c>
      <x:c r="H14" s="7"/>
      <x:c r="I14" s="7"/>
      <x:c r="J14" s="4" t="n">
        <x:v>0</x:v>
      </x:c>
      <x:c r="K14" t="n">
        <x:v>480</x:v>
      </x:c>
      <x:c r="L14" s="4" t="n">
        <x:v>0</x:v>
      </x:c>
      <x:c r="M14" t="n">
        <x:v>237</x:v>
      </x:c>
      <x:c r="N14" s="4"/>
      <x:c r="O14" t="n">
        <x:v>0</x:v>
      </x:c>
    </x:row>
    <x:row r="15">
      <x:c r="A15" t="str">
        <x:v>5588</x:v>
      </x:c>
      <x:c r="B15" t="str">
        <x:v>Fast Accounting</x:v>
      </x:c>
      <x:c r="C15" t="str">
        <x:v>2023-09-22</x:v>
      </x:c>
      <x:c r="D15" t="str">
        <x:v>2026-06-01</x:v>
      </x:c>
      <x:c r="E15" t="n">
        <x:v>654</x:v>
      </x:c>
      <x:c r="F15" s="8"/>
      <x:c r="G15" s="4" t="n">
        <x:v>0.137615</x:v>
      </x:c>
      <x:c r="H15" s="7" t="n">
        <x:v>91.5</x:v>
      </x:c>
      <x:c r="I15" s="7" t="n">
        <x:v>125.6</x:v>
      </x:c>
      <x:c r="J15" s="4" t="n">
        <x:v>0.209246</x:v>
      </x:c>
      <x:c r="K15" t="n">
        <x:v>411</x:v>
      </x:c>
      <x:c r="L15" s="4" t="n">
        <x:v>0.482143</x:v>
      </x:c>
      <x:c r="M15" t="n">
        <x:v>168</x:v>
      </x:c>
      <x:c r="N15" s="4"/>
      <x:c r="O15" t="n">
        <x:v>0</x:v>
      </x:c>
    </x:row>
    <x:row r="16">
      <x:c r="A16" t="str">
        <x:v>9337</x:v>
      </x:c>
      <x:c r="B16" t="str">
        <x:v>toridori</x:v>
      </x:c>
      <x:c r="C16" t="str">
        <x:v>2022-12-19</x:v>
      </x:c>
      <x:c r="D16" t="str">
        <x:v>2026-06-01</x:v>
      </x:c>
      <x:c r="E16" t="n">
        <x:v>842</x:v>
      </x:c>
      <x:c r="F16" s="8"/>
      <x:c r="G16" s="4" t="n">
        <x:v>0.130641</x:v>
      </x:c>
      <x:c r="H16" s="7" t="n">
        <x:v>460.5</x:v>
      </x:c>
      <x:c r="I16" s="7" t="n">
        <x:v>406.3</x:v>
      </x:c>
      <x:c r="J16" s="4" t="n">
        <x:v>0.081803</x:v>
      </x:c>
      <x:c r="K16" t="n">
        <x:v>599</x:v>
      </x:c>
      <x:c r="L16" s="4" t="n">
        <x:v>0.033708</x:v>
      </x:c>
      <x:c r="M16" t="n">
        <x:v>356</x:v>
      </x:c>
      <x:c r="N16" s="4" t="n">
        <x:v>0.017857</x:v>
      </x:c>
      <x:c r="O16" t="n">
        <x:v>112</x:v>
      </x:c>
    </x:row>
    <x:row r="17">
      <x:c r="A17" t="str">
        <x:v>9338</x:v>
      </x:c>
      <x:c r="B17" t="str">
        <x:v>INFORICH</x:v>
      </x:c>
      <x:c r="C17" t="str">
        <x:v>2022-12-21</x:v>
      </x:c>
      <x:c r="D17" t="str">
        <x:v>2026-06-01</x:v>
      </x:c>
      <x:c r="E17" t="n">
        <x:v>840</x:v>
      </x:c>
      <x:c r="F17" s="8" t="n">
        <x:v>243</x:v>
      </x:c>
      <x:c r="G17" s="4" t="n">
        <x:v>0.252381</x:v>
      </x:c>
      <x:c r="H17" s="7" t="n">
        <x:v>102.5</x:v>
      </x:c>
      <x:c r="I17" s="7" t="n">
        <x:v>123.4</x:v>
      </x:c>
      <x:c r="J17" s="4" t="n">
        <x:v>0.268007</x:v>
      </x:c>
      <x:c r="K17" t="n">
        <x:v>597</x:v>
      </x:c>
      <x:c r="L17" s="4" t="n">
        <x:v>0.449153</x:v>
      </x:c>
      <x:c r="M17" t="n">
        <x:v>354</x:v>
      </x:c>
      <x:c r="N17" s="4" t="n">
        <x:v>1</x:v>
      </x:c>
      <x:c r="O17" t="n">
        <x:v>110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0.890000343322754" hidden="0" customWidth="1"/>
    <x:col min="3" max="3" width="17.110000610351562" hidden="0" customWidth="1"/>
    <x:col min="4" max="4" width="65" hidden="0" customWidth="1"/>
    <x:col min="5" max="5" width="35" hidden="0" customWidth="1"/>
  </x:cols>
  <x:sheetData>
    <x:row r="1" ht="28" customHeight="1">
      <x:c r="A1" s="12" t="str">
        <x:v>Sources / Audit Trail</x:v>
      </x:c>
      <x:c r="B1" s="12"/>
      <x:c r="C1" s="12"/>
      <x:c r="D1" s="12"/>
      <x:c r="E1" s="12"/>
    </x:row>
    <x:row r="3" ht="15" hidden="0" customHeight="1">
      <x:c r="A3" s="21" t="str">
        <x:v>Item</x:v>
      </x:c>
      <x:c r="B3" s="22" t="str">
        <x:v>Period / as of</x:v>
      </x:c>
      <x:c r="C3" s="22" t="str">
        <x:v>Source</x:v>
      </x:c>
      <x:c r="D3" s="22" t="str">
        <x:v>URL / local path</x:v>
      </x:c>
      <x:c r="E3" s="23" t="str">
        <x:v>Notes</x:v>
      </x:c>
    </x:row>
    <x:row r="4" ht="26.399999618530273" hidden="0" customHeight="1">
      <x:c r="A4" s="52" t="str">
        <x:v>Screening/prices</x:v>
      </x:c>
      <x:c r="B4" s="52" t="str">
        <x:v>2026-06-01</x:v>
      </x:c>
      <x:c r="C4" s="52" t="str">
        <x:v>Local screening output</x:v>
      </x:c>
      <x:c r="D4" s="52" t="str">
        <x:v>outputs/tenbagger_screen_20260814/screening_all_companies.csv</x:v>
      </x:c>
      <x:c r="E4" s="52" t="str">
        <x:v>Uniform market-cap and historical screen snapshot</x:v>
      </x:c>
    </x:row>
    <x:row r="5" ht="15" hidden="0" customHeight="1">
      <x:c r="A5" s="52" t="str">
        <x:v>4377 ONE CAREER</x:v>
      </x:c>
      <x:c r="B5" s="52" t="str">
        <x:v>2026-Q2</x:v>
      </x:c>
      <x:c r="C5" s="52" t="str">
        <x:v>TDnet/JPX</x:v>
      </x:c>
      <x:c r="D5" s="52" t="str">
        <x:v>https://www2.jpx.co.jp/disc/43770/140120260812518295.pdf</x:v>
      </x:c>
      <x:c r="E5" s="52" t="str">
        <x:v>Q2 results</x:v>
      </x:c>
    </x:row>
    <x:row r="6" ht="15" hidden="0" customHeight="1">
      <x:c r="A6" s="52" t="str">
        <x:v>5032 ANYCOLOR</x:v>
      </x:c>
      <x:c r="B6" s="52" t="str">
        <x:v>FY2026</x:v>
      </x:c>
      <x:c r="C6" s="52" t="str">
        <x:v>Company IR</x:v>
      </x:c>
      <x:c r="D6" s="52" t="str">
        <x:v>https://www.anycolor.co.jp/ir</x:v>
      </x:c>
      <x:c r="E6" s="52" t="str">
        <x:v>Results and FY2027 guidance</x:v>
      </x:c>
    </x:row>
    <x:row r="7" ht="15" hidden="0" customHeight="1">
      <x:c r="A7" s="52" t="str">
        <x:v>5038 eWeLL</x:v>
      </x:c>
      <x:c r="B7" s="52" t="str">
        <x:v>2026-Q2</x:v>
      </x:c>
      <x:c r="C7" s="52" t="str">
        <x:v>TDnet</x:v>
      </x:c>
      <x:c r="D7" s="52" t="str">
        <x:v>https://www.release.tdnet.info/inbs/140120260813519046.pdf</x:v>
      </x:c>
      <x:c r="E7" s="52" t="str">
        <x:v>Q2 results</x:v>
      </x:c>
    </x:row>
    <x:row r="8" ht="15" hidden="0" customHeight="1">
      <x:c r="A8" s="52" t="str">
        <x:v>5132 pluszero</x:v>
      </x:c>
      <x:c r="B8" s="52" t="str">
        <x:v>2026-Q2</x:v>
      </x:c>
      <x:c r="C8" s="52" t="str">
        <x:v>JPX</x:v>
      </x:c>
      <x:c r="D8" s="52" t="str">
        <x:v>https://www2.jpx.co.jp/disc/51320/140120260610567316.pdf</x:v>
      </x:c>
      <x:c r="E8" s="52" t="str">
        <x:v>Q2 results</x:v>
      </x:c>
    </x:row>
    <x:row r="9" ht="15" hidden="0" customHeight="1">
      <x:c r="A9" s="52" t="str">
        <x:v>5134 POPER</x:v>
      </x:c>
      <x:c r="B9" s="52" t="str">
        <x:v>2026-Q2</x:v>
      </x:c>
      <x:c r="C9" s="52" t="str">
        <x:v>JPX</x:v>
      </x:c>
      <x:c r="D9" s="52" t="str">
        <x:v>https://www2.jpx.co.jp/disc/51340/140120260608565640.pdf</x:v>
      </x:c>
      <x:c r="E9" s="52" t="str">
        <x:v>Q2 results</x:v>
      </x:c>
    </x:row>
    <x:row r="10" ht="15" hidden="0" customHeight="1">
      <x:c r="A10" s="52" t="str">
        <x:v>5136 tripla</x:v>
      </x:c>
      <x:c r="B10" s="52" t="str">
        <x:v>2026-Q2</x:v>
      </x:c>
      <x:c r="C10" s="52" t="str">
        <x:v>JPX</x:v>
      </x:c>
      <x:c r="D10" s="52" t="str">
        <x:v>https://www2.jpx.co.jp/disc/51360/140120260615571004.pdf</x:v>
      </x:c>
      <x:c r="E10" s="52" t="str">
        <x:v>Q2 results</x:v>
      </x:c>
    </x:row>
    <x:row r="11" ht="26.399999618530273" hidden="0" customHeight="1">
      <x:c r="A11" s="52" t="str">
        <x:v>5253 COVER</x:v>
      </x:c>
      <x:c r="B11" s="52" t="str">
        <x:v>2027-Q1</x:v>
      </x:c>
      <x:c r="C11" s="52" t="str">
        <x:v>Company disclosure</x:v>
      </x:c>
      <x:c r="D11" s="52" t="str">
        <x:v>https://contents.xj-storage.jp/xcontents/AS05169/a913a915/631e/430c/a691/6980acf833fd/20260812150741940s.pdf</x:v>
      </x:c>
      <x:c r="E11" s="52" t="str">
        <x:v>Q1 results</x:v>
      </x:c>
    </x:row>
    <x:row r="12" ht="15" hidden="0" customHeight="1">
      <x:c r="A12" s="52" t="str">
        <x:v>5254 Arent</x:v>
      </x:c>
      <x:c r="B12" s="52" t="str">
        <x:v>FY2026</x:v>
      </x:c>
      <x:c r="C12" s="52" t="str">
        <x:v>Company IR</x:v>
      </x:c>
      <x:c r="D12" s="52" t="str">
        <x:v>https://arent.co.jp/ir/library/</x:v>
      </x:c>
      <x:c r="E12" s="52" t="str">
        <x:v>Results and guidance</x:v>
      </x:c>
    </x:row>
    <x:row r="13" ht="15" hidden="0" customHeight="1">
      <x:c r="A13" s="52" t="str">
        <x:v>5537 AlbaLink</x:v>
      </x:c>
      <x:c r="B13" s="52" t="str">
        <x:v>2026-Q2</x:v>
      </x:c>
      <x:c r="C13" s="52" t="str">
        <x:v>JPX</x:v>
      </x:c>
      <x:c r="D13" s="52" t="str">
        <x:v>https://www2.jpx.co.jp/disc/55370/140120260813519004.pdf</x:v>
      </x:c>
      <x:c r="E13" s="52" t="str">
        <x:v>Q2 results</x:v>
      </x:c>
    </x:row>
    <x:row r="14" ht="15" hidden="0" customHeight="1">
      <x:c r="A14" s="52" t="str">
        <x:v>5575 Globee</x:v>
      </x:c>
      <x:c r="B14" s="52" t="str">
        <x:v>FY2026</x:v>
      </x:c>
      <x:c r="C14" s="52" t="str">
        <x:v>JPX</x:v>
      </x:c>
      <x:c r="D14" s="52" t="str">
        <x:v>https://www2.jpx.co.jp/disc/55750/140120260714592876.pdf</x:v>
      </x:c>
      <x:c r="E14" s="52" t="str">
        <x:v>Results and FY2027 guidance</x:v>
      </x:c>
    </x:row>
    <x:row r="15" ht="15" hidden="0" customHeight="1">
      <x:c r="A15" s="52" t="str">
        <x:v>5588 Fast Accounting</x:v>
      </x:c>
      <x:c r="B15" s="52" t="str">
        <x:v>2026-Q2</x:v>
      </x:c>
      <x:c r="C15" s="52" t="str">
        <x:v>TDnet</x:v>
      </x:c>
      <x:c r="D15" s="52" t="str">
        <x:v>https://www.release.tdnet.info/inbs/140120260814520510.pdf</x:v>
      </x:c>
      <x:c r="E15" s="52" t="str">
        <x:v>Q2 results</x:v>
      </x:c>
    </x:row>
    <x:row r="16" ht="15" hidden="0" customHeight="1">
      <x:c r="A16" s="52" t="str">
        <x:v>9337 toridori</x:v>
      </x:c>
      <x:c r="B16" s="52" t="str">
        <x:v>2026-Q1</x:v>
      </x:c>
      <x:c r="C16" s="52" t="str">
        <x:v>JPX</x:v>
      </x:c>
      <x:c r="D16" s="52" t="str">
        <x:v>https://www2.jpx.co.jp/disc/93370/140120260514532989.pdf</x:v>
      </x:c>
      <x:c r="E16" s="52" t="str">
        <x:v>Q1 results</x:v>
      </x:c>
    </x:row>
    <x:row r="17" ht="15" hidden="0" customHeight="1">
      <x:c r="A17" s="52" t="str">
        <x:v>9338 INFORICH</x:v>
      </x:c>
      <x:c r="B17" s="52" t="str">
        <x:v>2026-06-16</x:v>
      </x:c>
      <x:c r="C17" s="52" t="str">
        <x:v>JPX</x:v>
      </x:c>
      <x:c r="D17" s="52" t="str">
        <x:v>https://www.jpx.co.jp/news/1023/20260526-11.html</x:v>
      </x:c>
      <x:c r="E17" s="52" t="str">
        <x:v>Delisting decision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.440000057220459" hidden="0" customWidth="1"/>
    <x:col min="3" max="3" width="7.78000020980835" hidden="0" customWidth="1"/>
    <x:col min="4" max="4" width="8.4399995803833" hidden="0" customWidth="1"/>
    <x:col min="5" max="5" width="5.440000057220459" hidden="0" customWidth="1"/>
    <x:col min="6" max="6" width="45" hidden="0" customWidth="1"/>
  </x:cols>
  <x:sheetData>
    <x:row r="1" ht="28" customHeight="1">
      <x:c r="A1" s="12" t="str">
        <x:v>Model Checks</x:v>
      </x:c>
      <x:c r="B1" s="12"/>
      <x:c r="C1" s="12"/>
      <x:c r="D1" s="12"/>
      <x:c r="E1" s="12"/>
      <x:c r="F1" s="12"/>
    </x:row>
    <x:row r="3">
      <x:c r="A3" s="21" t="str">
        <x:v>Check</x:v>
      </x:c>
      <x:c r="B3" s="22" t="str">
        <x:v>Actual</x:v>
      </x:c>
      <x:c r="C3" s="22" t="str">
        <x:v>Expected</x:v>
      </x:c>
      <x:c r="D3" s="22" t="str">
        <x:v>Difference</x:v>
      </x:c>
      <x:c r="E3" s="22" t="str">
        <x:v>Status</x:v>
      </x:c>
      <x:c r="F3" s="23" t="str">
        <x:v>Notes</x:v>
      </x:c>
    </x:row>
    <x:row r="4">
      <x:c r="A4" t="str">
        <x:v>Company count</x:v>
      </x:c>
      <x:c r="B4" s="69" t="n">
        <x:f>COUNTA('Company Inputs'!A4:A16)</x:f>
        <x:v>13</x:v>
      </x:c>
      <x:c r="C4" s="69" t="n">
        <x:v>13</x:v>
      </x:c>
      <x:c r="D4" s="69" t="n">
        <x:f>B4-C4</x:f>
        <x:v>0</x:v>
      </x:c>
      <x:c r="E4" s="69" t="str">
        <x:f>IF(ABS(D4)&lt;0.0001,"OK","FAIL")</x:f>
        <x:v>OK</x:v>
      </x:c>
      <x:c r="F4" t="str">
        <x:v>Must include all strict matches</x:v>
      </x:c>
    </x:row>
    <x:row r="5">
      <x:c r="A5" t="str">
        <x:v>Target factor</x:v>
      </x:c>
      <x:c r="B5" s="69" t="n">
        <x:f>'Assumptions'!B4</x:f>
        <x:v>2</x:v>
      </x:c>
      <x:c r="C5" s="69" t="n">
        <x:v>2</x:v>
      </x:c>
      <x:c r="D5" s="69" t="n">
        <x:f>B5-C5</x:f>
        <x:v>0</x:v>
      </x:c>
      <x:c r="E5" s="69" t="str">
        <x:f>IF(ABS(D5)&lt;0.0001,"OK","FAIL")</x:f>
        <x:v>OK</x:v>
      </x:c>
      <x:c r="F5" t="str">
        <x:v>Target must be 2.0x</x:v>
      </x:c>
    </x:row>
    <x:row r="6">
      <x:c r="A6" t="str">
        <x:v>Blend weights</x:v>
      </x:c>
      <x:c r="B6" s="69" t="n">
        <x:f>SUM('Assumptions'!B9:B11)</x:f>
        <x:v>1</x:v>
      </x:c>
      <x:c r="C6" s="69" t="n">
        <x:v>1</x:v>
      </x:c>
      <x:c r="D6" s="69" t="n">
        <x:f>B6-C6</x:f>
        <x:v>0</x:v>
      </x:c>
      <x:c r="E6" s="69" t="str">
        <x:f>IF(ABS(D6)&lt;0.0001,"OK","FAIL")</x:f>
        <x:v>OK</x:v>
      </x:c>
      <x:c r="F6" t="str">
        <x:v>Weights must sum to 100%</x:v>
      </x:c>
    </x:row>
    <x:row r="7">
      <x:c r="A7" t="str">
        <x:v>Base period nonblank active companies</x:v>
      </x:c>
      <x:c r="B7" s="69" t="n">
        <x:f>COUNT('Projection'!G4:G16)-1</x:f>
        <x:v>11</x:v>
      </x:c>
      <x:c r="C7" s="69" t="n">
        <x:v>11</x:v>
      </x:c>
      <x:c r="D7" s="69" t="n">
        <x:f>B7-C7</x:f>
        <x:v>0</x:v>
      </x:c>
      <x:c r="E7" s="69" t="str">
        <x:f>IF(ABS(D7)&lt;0.0001,"OK","FAIL")</x:f>
        <x:v>OK</x:v>
      </x:c>
      <x:c r="F7" t="str">
        <x:v>POPER blank; INFORICH remains calculated but delisted</x:v>
      </x:c>
    </x:row>
    <x:row r="8">
      <x:c r="A8" t="str">
        <x:v>Overall model status</x:v>
      </x:c>
      <x:c r="B8" s="69"/>
      <x:c r="C8" s="69"/>
      <x:c r="D8" s="69"/>
      <x:c r="E8" s="69" t="str">
        <x:f>IF(COUNTIF(E4:E7,"FAIL")=0,"OK","FAIL")</x:f>
        <x:v>OK</x:v>
      </x:c>
      <x:c r="F8" t="str">
        <x:v>All checks above must be OK</x:v>
      </x:c>
    </x:row>
  </x:sheetData>
  <x:mergeCells>
    <x:mergeCell ref="A1:F1"/>
  </x:mergeCells>
  <x:conditionalFormatting sqref="E4:E8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